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TECTONA RESIDEN\"/>
    </mc:Choice>
  </mc:AlternateContent>
  <xr:revisionPtr revIDLastSave="0" documentId="8_{C666D7BB-CA98-4C12-8D28-9360A0B0D16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SHBOARD" sheetId="1" r:id="rId1"/>
    <sheet name="PENGATURAN" sheetId="2" r:id="rId2"/>
    <sheet name="MASTER_KAVLING" sheetId="3" r:id="rId3"/>
    <sheet name="SKEMA_HARGA" sheetId="4" r:id="rId4"/>
    <sheet name="KONSUMEN" sheetId="5" r:id="rId5"/>
    <sheet name="AGEN_MARKETING" sheetId="6" r:id="rId6"/>
    <sheet name="PENJUALAN" sheetId="7" r:id="rId7"/>
    <sheet name="PEMBAYARAN" sheetId="8" r:id="rId8"/>
    <sheet name="RAB_MASTER" sheetId="9" r:id="rId9"/>
    <sheet name="KAS_PROYEK" sheetId="10" r:id="rId10"/>
    <sheet name="CASHFLOW_ALOKASI" sheetId="11" r:id="rId11"/>
    <sheet name="PPJB_OTOMATIS" sheetId="12" r:id="rId12"/>
    <sheet name="CHECKLIST_LEGAL" sheetId="13" r:id="rId13"/>
  </sheets>
  <definedNames>
    <definedName name="_xlnm._FilterDatabase" localSheetId="5" hidden="1">AGEN_MARKETING!$A$1:$K$103</definedName>
    <definedName name="_xlnm._FilterDatabase" localSheetId="10" hidden="1">CASHFLOW_ALOKASI!$A$1:$I$103</definedName>
    <definedName name="_xlnm._FilterDatabase" localSheetId="12" hidden="1">CHECKLIST_LEGAL!$A$1:$F$17</definedName>
    <definedName name="_xlnm._FilterDatabase" localSheetId="0" hidden="1">DASHBOARD!$A$1:$H$14</definedName>
    <definedName name="_xlnm._FilterDatabase" localSheetId="9" hidden="1">KAS_PROYEK!$A$1:$I$503</definedName>
    <definedName name="_xlnm._FilterDatabase" localSheetId="4" hidden="1">KONSUMEN!$A$1:$M$203</definedName>
    <definedName name="_xlnm._FilterDatabase" localSheetId="2" hidden="1">MASTER_KAVLING!$A$1:$L$18</definedName>
    <definedName name="_xlnm._FilterDatabase" localSheetId="7" hidden="1">PEMBAYARAN!$A$1:$I$503</definedName>
    <definedName name="_xlnm._FilterDatabase" localSheetId="1" hidden="1">PENGATURAN!$A$1:$D$18</definedName>
    <definedName name="_xlnm._FilterDatabase" localSheetId="6" hidden="1">PENJUALAN!$A$1:$N$203</definedName>
    <definedName name="_xlnm._FilterDatabase" localSheetId="11" hidden="1">PPJB_OTOMATIS!$A$1:$D$14</definedName>
    <definedName name="_xlnm._FilterDatabase" localSheetId="8" hidden="1">RAB_MASTER!$A$1:$G$12</definedName>
    <definedName name="_xlnm._FilterDatabase" localSheetId="3" hidden="1">SKEMA_HARGA!$A$1:$F$8</definedName>
  </definedNames>
  <calcPr calcId="181029"/>
  <fileRecoveryPr repairLoad="1"/>
</workbook>
</file>

<file path=xl/calcChain.xml><?xml version="1.0" encoding="utf-8"?>
<calcChain xmlns="http://schemas.openxmlformats.org/spreadsheetml/2006/main">
  <c r="B17" i="13" l="1"/>
  <c r="A17" i="13"/>
  <c r="B16" i="13"/>
  <c r="A16" i="13"/>
  <c r="B15" i="13"/>
  <c r="A15" i="13"/>
  <c r="B14" i="13"/>
  <c r="A14" i="13"/>
  <c r="B13" i="13"/>
  <c r="A13" i="13"/>
  <c r="B12" i="13"/>
  <c r="A12" i="13"/>
  <c r="B11" i="13"/>
  <c r="A11" i="13"/>
  <c r="B10" i="13"/>
  <c r="A10" i="13"/>
  <c r="B9" i="13"/>
  <c r="A9" i="13"/>
  <c r="B8" i="13"/>
  <c r="A8" i="13"/>
  <c r="B7" i="13"/>
  <c r="A7" i="13"/>
  <c r="B6" i="13"/>
  <c r="A6" i="13"/>
  <c r="B5" i="13"/>
  <c r="A5" i="13"/>
  <c r="B4" i="13"/>
  <c r="A4" i="13"/>
  <c r="B4" i="12"/>
  <c r="L203" i="11"/>
  <c r="B203" i="11"/>
  <c r="L202" i="11"/>
  <c r="B202" i="11"/>
  <c r="L201" i="11"/>
  <c r="B201" i="11"/>
  <c r="L200" i="11"/>
  <c r="B200" i="11"/>
  <c r="L199" i="11"/>
  <c r="B199" i="11"/>
  <c r="L198" i="11"/>
  <c r="B198" i="11"/>
  <c r="L197" i="11"/>
  <c r="B197" i="11"/>
  <c r="L196" i="11"/>
  <c r="B196" i="11"/>
  <c r="L195" i="11"/>
  <c r="B195" i="11"/>
  <c r="L194" i="11"/>
  <c r="B194" i="11"/>
  <c r="L193" i="11"/>
  <c r="B193" i="11"/>
  <c r="L192" i="11"/>
  <c r="B192" i="11"/>
  <c r="L191" i="11"/>
  <c r="B191" i="11"/>
  <c r="L190" i="11"/>
  <c r="B190" i="11"/>
  <c r="L189" i="11"/>
  <c r="B189" i="11"/>
  <c r="L188" i="11"/>
  <c r="B188" i="11"/>
  <c r="L187" i="11"/>
  <c r="B187" i="11"/>
  <c r="L186" i="11"/>
  <c r="B186" i="11"/>
  <c r="L185" i="11"/>
  <c r="B185" i="11"/>
  <c r="L184" i="11"/>
  <c r="B184" i="11"/>
  <c r="L183" i="11"/>
  <c r="B183" i="11"/>
  <c r="L182" i="11"/>
  <c r="B182" i="11"/>
  <c r="L181" i="11"/>
  <c r="B181" i="11"/>
  <c r="L180" i="11"/>
  <c r="B180" i="11"/>
  <c r="L179" i="11"/>
  <c r="B179" i="11"/>
  <c r="L178" i="11"/>
  <c r="B178" i="11"/>
  <c r="L177" i="11"/>
  <c r="B177" i="11"/>
  <c r="L176" i="11"/>
  <c r="B176" i="11"/>
  <c r="L175" i="11"/>
  <c r="B175" i="11"/>
  <c r="L174" i="11"/>
  <c r="B174" i="11"/>
  <c r="L173" i="11"/>
  <c r="B173" i="11"/>
  <c r="L172" i="11"/>
  <c r="B172" i="11"/>
  <c r="L171" i="11"/>
  <c r="B171" i="11"/>
  <c r="L170" i="11"/>
  <c r="B170" i="11"/>
  <c r="L169" i="11"/>
  <c r="B169" i="11"/>
  <c r="L168" i="11"/>
  <c r="B168" i="11"/>
  <c r="L167" i="11"/>
  <c r="B167" i="11"/>
  <c r="L166" i="11"/>
  <c r="B166" i="11"/>
  <c r="L165" i="11"/>
  <c r="B165" i="11"/>
  <c r="L164" i="11"/>
  <c r="B164" i="11"/>
  <c r="L163" i="11"/>
  <c r="B163" i="11"/>
  <c r="L162" i="11"/>
  <c r="B162" i="11"/>
  <c r="L161" i="11"/>
  <c r="B161" i="11"/>
  <c r="L160" i="11"/>
  <c r="B160" i="11"/>
  <c r="L159" i="11"/>
  <c r="B159" i="11"/>
  <c r="L158" i="11"/>
  <c r="B158" i="11"/>
  <c r="L157" i="11"/>
  <c r="B157" i="11"/>
  <c r="L156" i="11"/>
  <c r="B156" i="11"/>
  <c r="L155" i="11"/>
  <c r="B155" i="11"/>
  <c r="L154" i="11"/>
  <c r="B154" i="11"/>
  <c r="L153" i="11"/>
  <c r="B153" i="11"/>
  <c r="L152" i="11"/>
  <c r="B152" i="11"/>
  <c r="L151" i="11"/>
  <c r="B151" i="11"/>
  <c r="L150" i="11"/>
  <c r="B150" i="11"/>
  <c r="L149" i="11"/>
  <c r="B149" i="11"/>
  <c r="L148" i="11"/>
  <c r="B148" i="11"/>
  <c r="L147" i="11"/>
  <c r="B147" i="11"/>
  <c r="L146" i="11"/>
  <c r="B146" i="11"/>
  <c r="L145" i="11"/>
  <c r="B145" i="11"/>
  <c r="L144" i="11"/>
  <c r="B144" i="11"/>
  <c r="L143" i="11"/>
  <c r="B143" i="11"/>
  <c r="L142" i="11"/>
  <c r="B142" i="11"/>
  <c r="L141" i="11"/>
  <c r="B141" i="11"/>
  <c r="L140" i="11"/>
  <c r="B140" i="11"/>
  <c r="L139" i="11"/>
  <c r="B139" i="11"/>
  <c r="L138" i="11"/>
  <c r="B138" i="11"/>
  <c r="L137" i="11"/>
  <c r="B137" i="11"/>
  <c r="L136" i="11"/>
  <c r="B136" i="11"/>
  <c r="L135" i="11"/>
  <c r="B135" i="11"/>
  <c r="L134" i="11"/>
  <c r="B134" i="11"/>
  <c r="L133" i="11"/>
  <c r="B133" i="11"/>
  <c r="L132" i="11"/>
  <c r="B132" i="11"/>
  <c r="L131" i="11"/>
  <c r="B131" i="11"/>
  <c r="L130" i="11"/>
  <c r="B130" i="11"/>
  <c r="L129" i="11"/>
  <c r="B129" i="11"/>
  <c r="L128" i="11"/>
  <c r="B128" i="11"/>
  <c r="L127" i="11"/>
  <c r="B127" i="11"/>
  <c r="L126" i="11"/>
  <c r="B126" i="11"/>
  <c r="L125" i="11"/>
  <c r="B125" i="11"/>
  <c r="L124" i="11"/>
  <c r="B124" i="11"/>
  <c r="L123" i="11"/>
  <c r="B123" i="11"/>
  <c r="L122" i="11"/>
  <c r="B122" i="11"/>
  <c r="L121" i="11"/>
  <c r="B121" i="11"/>
  <c r="L120" i="11"/>
  <c r="B120" i="11"/>
  <c r="L119" i="11"/>
  <c r="B119" i="11"/>
  <c r="L118" i="11"/>
  <c r="B118" i="11"/>
  <c r="L117" i="11"/>
  <c r="B117" i="11"/>
  <c r="L116" i="11"/>
  <c r="B116" i="11"/>
  <c r="L115" i="11"/>
  <c r="B115" i="11"/>
  <c r="L114" i="11"/>
  <c r="B114" i="11"/>
  <c r="L113" i="11"/>
  <c r="B113" i="11"/>
  <c r="L112" i="11"/>
  <c r="B112" i="11"/>
  <c r="L111" i="11"/>
  <c r="B111" i="11"/>
  <c r="L110" i="11"/>
  <c r="B110" i="11"/>
  <c r="L109" i="11"/>
  <c r="B109" i="11"/>
  <c r="L108" i="11"/>
  <c r="B108" i="11"/>
  <c r="L107" i="11"/>
  <c r="B107" i="11"/>
  <c r="L106" i="11"/>
  <c r="B106" i="11"/>
  <c r="L105" i="11"/>
  <c r="B105" i="11"/>
  <c r="L104" i="11"/>
  <c r="B104" i="11"/>
  <c r="L103" i="11"/>
  <c r="B103" i="11"/>
  <c r="L102" i="11"/>
  <c r="B102" i="11"/>
  <c r="L101" i="11"/>
  <c r="B101" i="11"/>
  <c r="L100" i="11"/>
  <c r="B100" i="11"/>
  <c r="L99" i="11"/>
  <c r="B99" i="11"/>
  <c r="L98" i="11"/>
  <c r="B98" i="11"/>
  <c r="L97" i="11"/>
  <c r="B97" i="11"/>
  <c r="L96" i="11"/>
  <c r="B96" i="11"/>
  <c r="L95" i="11"/>
  <c r="B95" i="11"/>
  <c r="L94" i="11"/>
  <c r="B94" i="11"/>
  <c r="L93" i="11"/>
  <c r="B93" i="11"/>
  <c r="L92" i="11"/>
  <c r="B92" i="11"/>
  <c r="L91" i="11"/>
  <c r="B91" i="11"/>
  <c r="L90" i="11"/>
  <c r="B90" i="11"/>
  <c r="L89" i="11"/>
  <c r="B89" i="11"/>
  <c r="L88" i="11"/>
  <c r="B88" i="11"/>
  <c r="L87" i="11"/>
  <c r="B87" i="11"/>
  <c r="L86" i="11"/>
  <c r="B86" i="11"/>
  <c r="L85" i="11"/>
  <c r="B85" i="11"/>
  <c r="L84" i="11"/>
  <c r="B84" i="11"/>
  <c r="L83" i="11"/>
  <c r="B83" i="11"/>
  <c r="L82" i="11"/>
  <c r="B82" i="11"/>
  <c r="L81" i="11"/>
  <c r="B81" i="11"/>
  <c r="L80" i="11"/>
  <c r="B80" i="11"/>
  <c r="L79" i="11"/>
  <c r="B79" i="11"/>
  <c r="L78" i="11"/>
  <c r="B78" i="11"/>
  <c r="L77" i="11"/>
  <c r="B77" i="11"/>
  <c r="L76" i="11"/>
  <c r="B76" i="11"/>
  <c r="L75" i="11"/>
  <c r="B75" i="11"/>
  <c r="L74" i="11"/>
  <c r="B74" i="11"/>
  <c r="L73" i="11"/>
  <c r="B73" i="11"/>
  <c r="L72" i="11"/>
  <c r="B72" i="11"/>
  <c r="L71" i="11"/>
  <c r="B71" i="11"/>
  <c r="L70" i="11"/>
  <c r="B70" i="11"/>
  <c r="L69" i="11"/>
  <c r="B69" i="11"/>
  <c r="L68" i="11"/>
  <c r="B68" i="11"/>
  <c r="L67" i="11"/>
  <c r="B67" i="11"/>
  <c r="L66" i="11"/>
  <c r="B66" i="11"/>
  <c r="L65" i="11"/>
  <c r="B65" i="11"/>
  <c r="L64" i="11"/>
  <c r="B64" i="11"/>
  <c r="L63" i="11"/>
  <c r="B63" i="11"/>
  <c r="L62" i="11"/>
  <c r="B62" i="11"/>
  <c r="L61" i="11"/>
  <c r="B61" i="11"/>
  <c r="L60" i="11"/>
  <c r="B60" i="11"/>
  <c r="L59" i="11"/>
  <c r="B59" i="11"/>
  <c r="L58" i="11"/>
  <c r="B58" i="11"/>
  <c r="L57" i="11"/>
  <c r="B57" i="11"/>
  <c r="L56" i="11"/>
  <c r="B56" i="11"/>
  <c r="L55" i="11"/>
  <c r="B55" i="11"/>
  <c r="L54" i="11"/>
  <c r="B54" i="11"/>
  <c r="L53" i="11"/>
  <c r="B53" i="11"/>
  <c r="L52" i="11"/>
  <c r="B52" i="11"/>
  <c r="L51" i="11"/>
  <c r="B51" i="11"/>
  <c r="L50" i="11"/>
  <c r="B50" i="11"/>
  <c r="L49" i="11"/>
  <c r="B49" i="11"/>
  <c r="L48" i="11"/>
  <c r="B48" i="11"/>
  <c r="L47" i="11"/>
  <c r="B47" i="11"/>
  <c r="L46" i="11"/>
  <c r="B46" i="11"/>
  <c r="L45" i="11"/>
  <c r="B45" i="11"/>
  <c r="L44" i="11"/>
  <c r="B44" i="11"/>
  <c r="L43" i="11"/>
  <c r="B43" i="11"/>
  <c r="L42" i="11"/>
  <c r="B42" i="11"/>
  <c r="L41" i="11"/>
  <c r="B41" i="11"/>
  <c r="L40" i="11"/>
  <c r="B40" i="11"/>
  <c r="L39" i="11"/>
  <c r="B39" i="11"/>
  <c r="L38" i="11"/>
  <c r="B38" i="11"/>
  <c r="L37" i="11"/>
  <c r="B37" i="11"/>
  <c r="L36" i="11"/>
  <c r="B36" i="11"/>
  <c r="L35" i="11"/>
  <c r="B35" i="11"/>
  <c r="L34" i="11"/>
  <c r="B34" i="11"/>
  <c r="L33" i="11"/>
  <c r="B33" i="11"/>
  <c r="L32" i="11"/>
  <c r="B32" i="11"/>
  <c r="L31" i="11"/>
  <c r="B31" i="11"/>
  <c r="L30" i="11"/>
  <c r="B30" i="11"/>
  <c r="L29" i="11"/>
  <c r="B29" i="11"/>
  <c r="L28" i="11"/>
  <c r="B28" i="11"/>
  <c r="L27" i="11"/>
  <c r="B27" i="11"/>
  <c r="L26" i="11"/>
  <c r="B26" i="11"/>
  <c r="L25" i="11"/>
  <c r="B25" i="11"/>
  <c r="L24" i="11"/>
  <c r="B24" i="11"/>
  <c r="L23" i="11"/>
  <c r="B23" i="11"/>
  <c r="L22" i="11"/>
  <c r="B22" i="11"/>
  <c r="L21" i="11"/>
  <c r="B21" i="11"/>
  <c r="L20" i="11"/>
  <c r="B20" i="11"/>
  <c r="L19" i="11"/>
  <c r="B19" i="11"/>
  <c r="L18" i="11"/>
  <c r="B18" i="11"/>
  <c r="L17" i="11"/>
  <c r="B17" i="11"/>
  <c r="L16" i="11"/>
  <c r="B16" i="11"/>
  <c r="L15" i="11"/>
  <c r="B15" i="11"/>
  <c r="L14" i="11"/>
  <c r="B14" i="11"/>
  <c r="L13" i="11"/>
  <c r="B13" i="11"/>
  <c r="L12" i="11"/>
  <c r="B12" i="11"/>
  <c r="L11" i="11"/>
  <c r="B11" i="11"/>
  <c r="L10" i="11"/>
  <c r="B10" i="11"/>
  <c r="L9" i="11"/>
  <c r="B9" i="11"/>
  <c r="L8" i="11"/>
  <c r="B8" i="11"/>
  <c r="L7" i="11"/>
  <c r="B7" i="11"/>
  <c r="L6" i="11"/>
  <c r="B6" i="11"/>
  <c r="L5" i="11"/>
  <c r="B5" i="11"/>
  <c r="L4" i="11"/>
  <c r="B4" i="11"/>
  <c r="G4" i="10"/>
  <c r="G5" i="10" s="1"/>
  <c r="G6" i="10" s="1"/>
  <c r="G7" i="10" s="1"/>
  <c r="G8" i="10" s="1"/>
  <c r="G9" i="10" s="1"/>
  <c r="G10" i="10" s="1"/>
  <c r="G11" i="10" s="1"/>
  <c r="G12" i="10" s="1"/>
  <c r="G13" i="10" s="1"/>
  <c r="G14" i="10" s="1"/>
  <c r="G15" i="10" s="1"/>
  <c r="G16" i="10" s="1"/>
  <c r="G17" i="10" s="1"/>
  <c r="G18" i="10" s="1"/>
  <c r="G19" i="10" s="1"/>
  <c r="G20" i="10" s="1"/>
  <c r="G21" i="10" s="1"/>
  <c r="G22" i="10" s="1"/>
  <c r="G23" i="10" s="1"/>
  <c r="G24" i="10" s="1"/>
  <c r="G25" i="10" s="1"/>
  <c r="G26" i="10" s="1"/>
  <c r="G27" i="10" s="1"/>
  <c r="G28" i="10" s="1"/>
  <c r="G29" i="10" s="1"/>
  <c r="G30" i="10" s="1"/>
  <c r="G31" i="10" s="1"/>
  <c r="G32" i="10" s="1"/>
  <c r="G33" i="10" s="1"/>
  <c r="G34" i="10" s="1"/>
  <c r="G35" i="10" s="1"/>
  <c r="G36" i="10" s="1"/>
  <c r="G37" i="10" s="1"/>
  <c r="G38" i="10" s="1"/>
  <c r="G39" i="10" s="1"/>
  <c r="G40" i="10" s="1"/>
  <c r="G41" i="10" s="1"/>
  <c r="G42" i="10" s="1"/>
  <c r="G43" i="10" s="1"/>
  <c r="G44" i="10" s="1"/>
  <c r="G45" i="10" s="1"/>
  <c r="G46" i="10" s="1"/>
  <c r="G47" i="10" s="1"/>
  <c r="G48" i="10" s="1"/>
  <c r="G49" i="10" s="1"/>
  <c r="G50" i="10" s="1"/>
  <c r="G51" i="10" s="1"/>
  <c r="G52" i="10" s="1"/>
  <c r="G53" i="10" s="1"/>
  <c r="G54" i="10" s="1"/>
  <c r="G55" i="10" s="1"/>
  <c r="G56" i="10" s="1"/>
  <c r="G57" i="10" s="1"/>
  <c r="G58" i="10" s="1"/>
  <c r="G59" i="10" s="1"/>
  <c r="G60" i="10" s="1"/>
  <c r="G61" i="10" s="1"/>
  <c r="G62" i="10" s="1"/>
  <c r="G63" i="10" s="1"/>
  <c r="G64" i="10" s="1"/>
  <c r="G65" i="10" s="1"/>
  <c r="G66" i="10" s="1"/>
  <c r="G67" i="10" s="1"/>
  <c r="G68" i="10" s="1"/>
  <c r="G69" i="10" s="1"/>
  <c r="G70" i="10" s="1"/>
  <c r="G71" i="10" s="1"/>
  <c r="G72" i="10" s="1"/>
  <c r="G73" i="10" s="1"/>
  <c r="G74" i="10" s="1"/>
  <c r="G75" i="10" s="1"/>
  <c r="G76" i="10" s="1"/>
  <c r="G77" i="10" s="1"/>
  <c r="G78" i="10" s="1"/>
  <c r="G79" i="10" s="1"/>
  <c r="G80" i="10" s="1"/>
  <c r="G81" i="10" s="1"/>
  <c r="G82" i="10" s="1"/>
  <c r="G83" i="10" s="1"/>
  <c r="G84" i="10" s="1"/>
  <c r="G85" i="10" s="1"/>
  <c r="G86" i="10" s="1"/>
  <c r="G87" i="10" s="1"/>
  <c r="G88" i="10" s="1"/>
  <c r="G89" i="10" s="1"/>
  <c r="G90" i="10" s="1"/>
  <c r="G91" i="10" s="1"/>
  <c r="G92" i="10" s="1"/>
  <c r="G93" i="10" s="1"/>
  <c r="G94" i="10" s="1"/>
  <c r="G95" i="10" s="1"/>
  <c r="G96" i="10" s="1"/>
  <c r="G97" i="10" s="1"/>
  <c r="G98" i="10" s="1"/>
  <c r="G99" i="10" s="1"/>
  <c r="G100" i="10" s="1"/>
  <c r="G101" i="10" s="1"/>
  <c r="G102" i="10" s="1"/>
  <c r="G103" i="10" s="1"/>
  <c r="G104" i="10" s="1"/>
  <c r="G105" i="10" s="1"/>
  <c r="G106" i="10" s="1"/>
  <c r="G107" i="10" s="1"/>
  <c r="G108" i="10" s="1"/>
  <c r="G109" i="10" s="1"/>
  <c r="G110" i="10" s="1"/>
  <c r="G111" i="10" s="1"/>
  <c r="G112" i="10" s="1"/>
  <c r="G113" i="10" s="1"/>
  <c r="G114" i="10" s="1"/>
  <c r="G115" i="10" s="1"/>
  <c r="G116" i="10" s="1"/>
  <c r="G117" i="10" s="1"/>
  <c r="G118" i="10" s="1"/>
  <c r="G119" i="10" s="1"/>
  <c r="G120" i="10" s="1"/>
  <c r="G121" i="10" s="1"/>
  <c r="G122" i="10" s="1"/>
  <c r="G123" i="10" s="1"/>
  <c r="G124" i="10" s="1"/>
  <c r="G125" i="10" s="1"/>
  <c r="G126" i="10" s="1"/>
  <c r="G127" i="10" s="1"/>
  <c r="G128" i="10" s="1"/>
  <c r="G129" i="10" s="1"/>
  <c r="G130" i="10" s="1"/>
  <c r="G131" i="10" s="1"/>
  <c r="G132" i="10" s="1"/>
  <c r="G133" i="10" s="1"/>
  <c r="G134" i="10" s="1"/>
  <c r="G135" i="10" s="1"/>
  <c r="G136" i="10" s="1"/>
  <c r="G137" i="10" s="1"/>
  <c r="G138" i="10" s="1"/>
  <c r="G139" i="10" s="1"/>
  <c r="G140" i="10" s="1"/>
  <c r="G141" i="10" s="1"/>
  <c r="G142" i="10" s="1"/>
  <c r="G143" i="10" s="1"/>
  <c r="G144" i="10" s="1"/>
  <c r="G145" i="10" s="1"/>
  <c r="G146" i="10" s="1"/>
  <c r="G147" i="10" s="1"/>
  <c r="G148" i="10" s="1"/>
  <c r="G149" i="10" s="1"/>
  <c r="G150" i="10" s="1"/>
  <c r="G151" i="10" s="1"/>
  <c r="G152" i="10" s="1"/>
  <c r="G153" i="10" s="1"/>
  <c r="G154" i="10" s="1"/>
  <c r="G155" i="10" s="1"/>
  <c r="G156" i="10" s="1"/>
  <c r="G157" i="10" s="1"/>
  <c r="G158" i="10" s="1"/>
  <c r="G159" i="10" s="1"/>
  <c r="G160" i="10" s="1"/>
  <c r="G161" i="10" s="1"/>
  <c r="G162" i="10" s="1"/>
  <c r="G163" i="10" s="1"/>
  <c r="G164" i="10" s="1"/>
  <c r="G165" i="10" s="1"/>
  <c r="G166" i="10" s="1"/>
  <c r="G167" i="10" s="1"/>
  <c r="G168" i="10" s="1"/>
  <c r="G169" i="10" s="1"/>
  <c r="G170" i="10" s="1"/>
  <c r="G171" i="10" s="1"/>
  <c r="G172" i="10" s="1"/>
  <c r="G173" i="10" s="1"/>
  <c r="G174" i="10" s="1"/>
  <c r="G175" i="10" s="1"/>
  <c r="G176" i="10" s="1"/>
  <c r="G177" i="10" s="1"/>
  <c r="G178" i="10" s="1"/>
  <c r="G179" i="10" s="1"/>
  <c r="G180" i="10" s="1"/>
  <c r="G181" i="10" s="1"/>
  <c r="G182" i="10" s="1"/>
  <c r="G183" i="10" s="1"/>
  <c r="G184" i="10" s="1"/>
  <c r="G185" i="10" s="1"/>
  <c r="G186" i="10" s="1"/>
  <c r="G187" i="10" s="1"/>
  <c r="G188" i="10" s="1"/>
  <c r="G189" i="10" s="1"/>
  <c r="G190" i="10" s="1"/>
  <c r="G191" i="10" s="1"/>
  <c r="G192" i="10" s="1"/>
  <c r="G193" i="10" s="1"/>
  <c r="G194" i="10" s="1"/>
  <c r="G195" i="10" s="1"/>
  <c r="G196" i="10" s="1"/>
  <c r="G197" i="10" s="1"/>
  <c r="G198" i="10" s="1"/>
  <c r="G199" i="10" s="1"/>
  <c r="G200" i="10" s="1"/>
  <c r="G201" i="10" s="1"/>
  <c r="G202" i="10" s="1"/>
  <c r="G203" i="10" s="1"/>
  <c r="G204" i="10" s="1"/>
  <c r="G205" i="10" s="1"/>
  <c r="G206" i="10" s="1"/>
  <c r="G207" i="10" s="1"/>
  <c r="G208" i="10" s="1"/>
  <c r="G209" i="10" s="1"/>
  <c r="G210" i="10" s="1"/>
  <c r="G211" i="10" s="1"/>
  <c r="G212" i="10" s="1"/>
  <c r="G213" i="10" s="1"/>
  <c r="G214" i="10" s="1"/>
  <c r="G215" i="10" s="1"/>
  <c r="G216" i="10" s="1"/>
  <c r="G217" i="10" s="1"/>
  <c r="G218" i="10" s="1"/>
  <c r="G219" i="10" s="1"/>
  <c r="G220" i="10" s="1"/>
  <c r="G221" i="10" s="1"/>
  <c r="G222" i="10" s="1"/>
  <c r="G223" i="10" s="1"/>
  <c r="G224" i="10" s="1"/>
  <c r="G225" i="10" s="1"/>
  <c r="G226" i="10" s="1"/>
  <c r="G227" i="10" s="1"/>
  <c r="G228" i="10" s="1"/>
  <c r="G229" i="10" s="1"/>
  <c r="G230" i="10" s="1"/>
  <c r="G231" i="10" s="1"/>
  <c r="G232" i="10" s="1"/>
  <c r="G233" i="10" s="1"/>
  <c r="G234" i="10" s="1"/>
  <c r="G235" i="10" s="1"/>
  <c r="G236" i="10" s="1"/>
  <c r="G237" i="10" s="1"/>
  <c r="G238" i="10" s="1"/>
  <c r="G239" i="10" s="1"/>
  <c r="G240" i="10" s="1"/>
  <c r="G241" i="10" s="1"/>
  <c r="G242" i="10" s="1"/>
  <c r="G243" i="10" s="1"/>
  <c r="G244" i="10" s="1"/>
  <c r="G245" i="10" s="1"/>
  <c r="G246" i="10" s="1"/>
  <c r="G247" i="10" s="1"/>
  <c r="G248" i="10" s="1"/>
  <c r="G249" i="10" s="1"/>
  <c r="G250" i="10" s="1"/>
  <c r="G251" i="10" s="1"/>
  <c r="G252" i="10" s="1"/>
  <c r="G253" i="10" s="1"/>
  <c r="G254" i="10" s="1"/>
  <c r="G255" i="10" s="1"/>
  <c r="G256" i="10" s="1"/>
  <c r="G257" i="10" s="1"/>
  <c r="G258" i="10" s="1"/>
  <c r="G259" i="10" s="1"/>
  <c r="G260" i="10" s="1"/>
  <c r="G261" i="10" s="1"/>
  <c r="G262" i="10" s="1"/>
  <c r="G263" i="10" s="1"/>
  <c r="G264" i="10" s="1"/>
  <c r="G265" i="10" s="1"/>
  <c r="G266" i="10" s="1"/>
  <c r="G267" i="10" s="1"/>
  <c r="G268" i="10" s="1"/>
  <c r="G269" i="10" s="1"/>
  <c r="G270" i="10" s="1"/>
  <c r="G271" i="10" s="1"/>
  <c r="G272" i="10" s="1"/>
  <c r="G273" i="10" s="1"/>
  <c r="G274" i="10" s="1"/>
  <c r="G275" i="10" s="1"/>
  <c r="G276" i="10" s="1"/>
  <c r="G277" i="10" s="1"/>
  <c r="G278" i="10" s="1"/>
  <c r="G279" i="10" s="1"/>
  <c r="G280" i="10" s="1"/>
  <c r="G281" i="10" s="1"/>
  <c r="G282" i="10" s="1"/>
  <c r="G283" i="10" s="1"/>
  <c r="G284" i="10" s="1"/>
  <c r="G285" i="10" s="1"/>
  <c r="G286" i="10" s="1"/>
  <c r="G287" i="10" s="1"/>
  <c r="G288" i="10" s="1"/>
  <c r="G289" i="10" s="1"/>
  <c r="G290" i="10" s="1"/>
  <c r="G291" i="10" s="1"/>
  <c r="G292" i="10" s="1"/>
  <c r="G293" i="10" s="1"/>
  <c r="G294" i="10" s="1"/>
  <c r="G295" i="10" s="1"/>
  <c r="G296" i="10" s="1"/>
  <c r="G297" i="10" s="1"/>
  <c r="G298" i="10" s="1"/>
  <c r="G299" i="10" s="1"/>
  <c r="G300" i="10" s="1"/>
  <c r="G301" i="10" s="1"/>
  <c r="G302" i="10" s="1"/>
  <c r="G303" i="10" s="1"/>
  <c r="G304" i="10" s="1"/>
  <c r="G305" i="10" s="1"/>
  <c r="G306" i="10" s="1"/>
  <c r="G307" i="10" s="1"/>
  <c r="G308" i="10" s="1"/>
  <c r="G309" i="10" s="1"/>
  <c r="G310" i="10" s="1"/>
  <c r="G311" i="10" s="1"/>
  <c r="G312" i="10" s="1"/>
  <c r="G313" i="10" s="1"/>
  <c r="G314" i="10" s="1"/>
  <c r="G315" i="10" s="1"/>
  <c r="G316" i="10" s="1"/>
  <c r="G317" i="10" s="1"/>
  <c r="G318" i="10" s="1"/>
  <c r="G319" i="10" s="1"/>
  <c r="G320" i="10" s="1"/>
  <c r="G321" i="10" s="1"/>
  <c r="G322" i="10" s="1"/>
  <c r="G323" i="10" s="1"/>
  <c r="G324" i="10" s="1"/>
  <c r="G325" i="10" s="1"/>
  <c r="G326" i="10" s="1"/>
  <c r="G327" i="10" s="1"/>
  <c r="G328" i="10" s="1"/>
  <c r="G329" i="10" s="1"/>
  <c r="G330" i="10" s="1"/>
  <c r="G331" i="10" s="1"/>
  <c r="G332" i="10" s="1"/>
  <c r="G333" i="10" s="1"/>
  <c r="G334" i="10" s="1"/>
  <c r="G335" i="10" s="1"/>
  <c r="G336" i="10" s="1"/>
  <c r="G337" i="10" s="1"/>
  <c r="G338" i="10" s="1"/>
  <c r="G339" i="10" s="1"/>
  <c r="G340" i="10" s="1"/>
  <c r="G341" i="10" s="1"/>
  <c r="G342" i="10" s="1"/>
  <c r="G343" i="10" s="1"/>
  <c r="G344" i="10" s="1"/>
  <c r="G345" i="10" s="1"/>
  <c r="G346" i="10" s="1"/>
  <c r="G347" i="10" s="1"/>
  <c r="G348" i="10" s="1"/>
  <c r="G349" i="10" s="1"/>
  <c r="G350" i="10" s="1"/>
  <c r="G351" i="10" s="1"/>
  <c r="G352" i="10" s="1"/>
  <c r="G353" i="10" s="1"/>
  <c r="G354" i="10" s="1"/>
  <c r="G355" i="10" s="1"/>
  <c r="G356" i="10" s="1"/>
  <c r="G357" i="10" s="1"/>
  <c r="G358" i="10" s="1"/>
  <c r="G359" i="10" s="1"/>
  <c r="G360" i="10" s="1"/>
  <c r="G361" i="10" s="1"/>
  <c r="G362" i="10" s="1"/>
  <c r="G363" i="10" s="1"/>
  <c r="G364" i="10" s="1"/>
  <c r="G365" i="10" s="1"/>
  <c r="G366" i="10" s="1"/>
  <c r="G367" i="10" s="1"/>
  <c r="G368" i="10" s="1"/>
  <c r="G369" i="10" s="1"/>
  <c r="G370" i="10" s="1"/>
  <c r="G371" i="10" s="1"/>
  <c r="G372" i="10" s="1"/>
  <c r="G373" i="10" s="1"/>
  <c r="G374" i="10" s="1"/>
  <c r="G375" i="10" s="1"/>
  <c r="G376" i="10" s="1"/>
  <c r="G377" i="10" s="1"/>
  <c r="G378" i="10" s="1"/>
  <c r="G379" i="10" s="1"/>
  <c r="G380" i="10" s="1"/>
  <c r="G381" i="10" s="1"/>
  <c r="G382" i="10" s="1"/>
  <c r="G383" i="10" s="1"/>
  <c r="G384" i="10" s="1"/>
  <c r="G385" i="10" s="1"/>
  <c r="G386" i="10" s="1"/>
  <c r="G387" i="10" s="1"/>
  <c r="G388" i="10" s="1"/>
  <c r="G389" i="10" s="1"/>
  <c r="G390" i="10" s="1"/>
  <c r="G391" i="10" s="1"/>
  <c r="G392" i="10" s="1"/>
  <c r="G393" i="10" s="1"/>
  <c r="G394" i="10" s="1"/>
  <c r="G395" i="10" s="1"/>
  <c r="G396" i="10" s="1"/>
  <c r="G397" i="10" s="1"/>
  <c r="G398" i="10" s="1"/>
  <c r="G399" i="10" s="1"/>
  <c r="G400" i="10" s="1"/>
  <c r="G401" i="10" s="1"/>
  <c r="G402" i="10" s="1"/>
  <c r="G403" i="10" s="1"/>
  <c r="G404" i="10" s="1"/>
  <c r="G405" i="10" s="1"/>
  <c r="G406" i="10" s="1"/>
  <c r="G407" i="10" s="1"/>
  <c r="G408" i="10" s="1"/>
  <c r="G409" i="10" s="1"/>
  <c r="G410" i="10" s="1"/>
  <c r="G411" i="10" s="1"/>
  <c r="G412" i="10" s="1"/>
  <c r="G413" i="10" s="1"/>
  <c r="G414" i="10" s="1"/>
  <c r="G415" i="10" s="1"/>
  <c r="G416" i="10" s="1"/>
  <c r="G417" i="10" s="1"/>
  <c r="G418" i="10" s="1"/>
  <c r="G419" i="10" s="1"/>
  <c r="G420" i="10" s="1"/>
  <c r="G421" i="10" s="1"/>
  <c r="G422" i="10" s="1"/>
  <c r="G423" i="10" s="1"/>
  <c r="G424" i="10" s="1"/>
  <c r="G425" i="10" s="1"/>
  <c r="G426" i="10" s="1"/>
  <c r="G427" i="10" s="1"/>
  <c r="G428" i="10" s="1"/>
  <c r="G429" i="10" s="1"/>
  <c r="G430" i="10" s="1"/>
  <c r="G431" i="10" s="1"/>
  <c r="G432" i="10" s="1"/>
  <c r="G433" i="10" s="1"/>
  <c r="G434" i="10" s="1"/>
  <c r="G435" i="10" s="1"/>
  <c r="G436" i="10" s="1"/>
  <c r="G437" i="10" s="1"/>
  <c r="G438" i="10" s="1"/>
  <c r="G439" i="10" s="1"/>
  <c r="G440" i="10" s="1"/>
  <c r="G441" i="10" s="1"/>
  <c r="G442" i="10" s="1"/>
  <c r="G443" i="10" s="1"/>
  <c r="G444" i="10" s="1"/>
  <c r="G445" i="10" s="1"/>
  <c r="G446" i="10" s="1"/>
  <c r="G447" i="10" s="1"/>
  <c r="G448" i="10" s="1"/>
  <c r="G449" i="10" s="1"/>
  <c r="G450" i="10" s="1"/>
  <c r="G451" i="10" s="1"/>
  <c r="G452" i="10" s="1"/>
  <c r="G453" i="10" s="1"/>
  <c r="G454" i="10" s="1"/>
  <c r="G455" i="10" s="1"/>
  <c r="G456" i="10" s="1"/>
  <c r="G457" i="10" s="1"/>
  <c r="G458" i="10" s="1"/>
  <c r="G459" i="10" s="1"/>
  <c r="G460" i="10" s="1"/>
  <c r="G461" i="10" s="1"/>
  <c r="G462" i="10" s="1"/>
  <c r="G463" i="10" s="1"/>
  <c r="G464" i="10" s="1"/>
  <c r="G465" i="10" s="1"/>
  <c r="G466" i="10" s="1"/>
  <c r="G467" i="10" s="1"/>
  <c r="G468" i="10" s="1"/>
  <c r="G469" i="10" s="1"/>
  <c r="G470" i="10" s="1"/>
  <c r="G471" i="10" s="1"/>
  <c r="G472" i="10" s="1"/>
  <c r="G473" i="10" s="1"/>
  <c r="G474" i="10" s="1"/>
  <c r="G475" i="10" s="1"/>
  <c r="G476" i="10" s="1"/>
  <c r="G477" i="10" s="1"/>
  <c r="G478" i="10" s="1"/>
  <c r="G479" i="10" s="1"/>
  <c r="G480" i="10" s="1"/>
  <c r="G481" i="10" s="1"/>
  <c r="G482" i="10" s="1"/>
  <c r="G483" i="10" s="1"/>
  <c r="G484" i="10" s="1"/>
  <c r="G485" i="10" s="1"/>
  <c r="G486" i="10" s="1"/>
  <c r="G487" i="10" s="1"/>
  <c r="G488" i="10" s="1"/>
  <c r="G489" i="10" s="1"/>
  <c r="G490" i="10" s="1"/>
  <c r="G491" i="10" s="1"/>
  <c r="G492" i="10" s="1"/>
  <c r="G493" i="10" s="1"/>
  <c r="G494" i="10" s="1"/>
  <c r="G495" i="10" s="1"/>
  <c r="G496" i="10" s="1"/>
  <c r="G497" i="10" s="1"/>
  <c r="G498" i="10" s="1"/>
  <c r="G499" i="10" s="1"/>
  <c r="G500" i="10" s="1"/>
  <c r="G501" i="10" s="1"/>
  <c r="G502" i="10" s="1"/>
  <c r="G503" i="10" s="1"/>
  <c r="F12" i="9"/>
  <c r="E12" i="9"/>
  <c r="F11" i="9"/>
  <c r="E11" i="9"/>
  <c r="F10" i="9"/>
  <c r="E10" i="9"/>
  <c r="F9" i="9"/>
  <c r="E9" i="9"/>
  <c r="F8" i="9"/>
  <c r="E8" i="9"/>
  <c r="F7" i="9"/>
  <c r="E7" i="9"/>
  <c r="F6" i="9"/>
  <c r="E6" i="9"/>
  <c r="F5" i="9"/>
  <c r="E5" i="9"/>
  <c r="F4" i="9"/>
  <c r="E4" i="9"/>
  <c r="L203" i="7"/>
  <c r="A203" i="7"/>
  <c r="K203" i="7" s="1"/>
  <c r="L202" i="7"/>
  <c r="A202" i="7"/>
  <c r="K202" i="7" s="1"/>
  <c r="L201" i="7"/>
  <c r="A201" i="7"/>
  <c r="K201" i="7" s="1"/>
  <c r="L200" i="7"/>
  <c r="A200" i="7"/>
  <c r="K200" i="7" s="1"/>
  <c r="L199" i="7"/>
  <c r="A199" i="7"/>
  <c r="K199" i="7" s="1"/>
  <c r="L198" i="7"/>
  <c r="A198" i="7"/>
  <c r="K198" i="7" s="1"/>
  <c r="L197" i="7"/>
  <c r="A197" i="7"/>
  <c r="K197" i="7" s="1"/>
  <c r="L196" i="7"/>
  <c r="A196" i="7"/>
  <c r="K196" i="7" s="1"/>
  <c r="L195" i="7"/>
  <c r="A195" i="7"/>
  <c r="K195" i="7" s="1"/>
  <c r="L194" i="7"/>
  <c r="A194" i="7"/>
  <c r="K194" i="7" s="1"/>
  <c r="L193" i="7"/>
  <c r="A193" i="7"/>
  <c r="K193" i="7" s="1"/>
  <c r="L192" i="7"/>
  <c r="A192" i="7"/>
  <c r="K192" i="7" s="1"/>
  <c r="L191" i="7"/>
  <c r="A191" i="7"/>
  <c r="K191" i="7" s="1"/>
  <c r="L190" i="7"/>
  <c r="A190" i="7"/>
  <c r="K190" i="7" s="1"/>
  <c r="L189" i="7"/>
  <c r="A189" i="7"/>
  <c r="K189" i="7" s="1"/>
  <c r="L188" i="7"/>
  <c r="A188" i="7"/>
  <c r="K188" i="7" s="1"/>
  <c r="L187" i="7"/>
  <c r="A187" i="7"/>
  <c r="K187" i="7" s="1"/>
  <c r="L186" i="7"/>
  <c r="A186" i="7"/>
  <c r="K186" i="7" s="1"/>
  <c r="L185" i="7"/>
  <c r="A185" i="7"/>
  <c r="K185" i="7" s="1"/>
  <c r="L184" i="7"/>
  <c r="A184" i="7"/>
  <c r="K184" i="7" s="1"/>
  <c r="L183" i="7"/>
  <c r="A183" i="7"/>
  <c r="K183" i="7" s="1"/>
  <c r="L182" i="7"/>
  <c r="A182" i="7"/>
  <c r="K182" i="7" s="1"/>
  <c r="L181" i="7"/>
  <c r="A181" i="7"/>
  <c r="K181" i="7" s="1"/>
  <c r="L180" i="7"/>
  <c r="A180" i="7"/>
  <c r="K180" i="7" s="1"/>
  <c r="L179" i="7"/>
  <c r="A179" i="7"/>
  <c r="K179" i="7" s="1"/>
  <c r="L178" i="7"/>
  <c r="A178" i="7"/>
  <c r="K178" i="7" s="1"/>
  <c r="L177" i="7"/>
  <c r="A177" i="7"/>
  <c r="K177" i="7" s="1"/>
  <c r="L176" i="7"/>
  <c r="A176" i="7"/>
  <c r="K176" i="7" s="1"/>
  <c r="L175" i="7"/>
  <c r="A175" i="7"/>
  <c r="K175" i="7" s="1"/>
  <c r="L174" i="7"/>
  <c r="A174" i="7"/>
  <c r="K174" i="7" s="1"/>
  <c r="L173" i="7"/>
  <c r="A173" i="7"/>
  <c r="K173" i="7" s="1"/>
  <c r="L172" i="7"/>
  <c r="A172" i="7"/>
  <c r="K172" i="7" s="1"/>
  <c r="L171" i="7"/>
  <c r="A171" i="7"/>
  <c r="K171" i="7" s="1"/>
  <c r="L170" i="7"/>
  <c r="A170" i="7"/>
  <c r="K170" i="7" s="1"/>
  <c r="L169" i="7"/>
  <c r="A169" i="7"/>
  <c r="K169" i="7" s="1"/>
  <c r="L168" i="7"/>
  <c r="A168" i="7"/>
  <c r="K168" i="7" s="1"/>
  <c r="L167" i="7"/>
  <c r="A167" i="7"/>
  <c r="K167" i="7" s="1"/>
  <c r="L166" i="7"/>
  <c r="A166" i="7"/>
  <c r="K166" i="7" s="1"/>
  <c r="L165" i="7"/>
  <c r="A165" i="7"/>
  <c r="K165" i="7" s="1"/>
  <c r="L164" i="7"/>
  <c r="A164" i="7"/>
  <c r="K164" i="7" s="1"/>
  <c r="L163" i="7"/>
  <c r="A163" i="7"/>
  <c r="K163" i="7" s="1"/>
  <c r="L162" i="7"/>
  <c r="A162" i="7"/>
  <c r="K162" i="7" s="1"/>
  <c r="L161" i="7"/>
  <c r="A161" i="7"/>
  <c r="K161" i="7" s="1"/>
  <c r="L160" i="7"/>
  <c r="A160" i="7"/>
  <c r="K160" i="7" s="1"/>
  <c r="L159" i="7"/>
  <c r="A159" i="7"/>
  <c r="K159" i="7" s="1"/>
  <c r="L158" i="7"/>
  <c r="A158" i="7"/>
  <c r="K158" i="7" s="1"/>
  <c r="L157" i="7"/>
  <c r="A157" i="7"/>
  <c r="K157" i="7" s="1"/>
  <c r="L156" i="7"/>
  <c r="A156" i="7"/>
  <c r="K156" i="7" s="1"/>
  <c r="L155" i="7"/>
  <c r="A155" i="7"/>
  <c r="K155" i="7" s="1"/>
  <c r="L154" i="7"/>
  <c r="A154" i="7"/>
  <c r="K154" i="7" s="1"/>
  <c r="L153" i="7"/>
  <c r="A153" i="7"/>
  <c r="K153" i="7" s="1"/>
  <c r="L152" i="7"/>
  <c r="A152" i="7"/>
  <c r="K152" i="7" s="1"/>
  <c r="L151" i="7"/>
  <c r="A151" i="7"/>
  <c r="K151" i="7" s="1"/>
  <c r="L150" i="7"/>
  <c r="A150" i="7"/>
  <c r="K150" i="7" s="1"/>
  <c r="L149" i="7"/>
  <c r="A149" i="7"/>
  <c r="K149" i="7" s="1"/>
  <c r="L148" i="7"/>
  <c r="A148" i="7"/>
  <c r="K148" i="7" s="1"/>
  <c r="L147" i="7"/>
  <c r="A147" i="7"/>
  <c r="K147" i="7" s="1"/>
  <c r="L146" i="7"/>
  <c r="A146" i="7"/>
  <c r="K146" i="7" s="1"/>
  <c r="L145" i="7"/>
  <c r="A145" i="7"/>
  <c r="K145" i="7" s="1"/>
  <c r="L144" i="7"/>
  <c r="A144" i="7"/>
  <c r="K144" i="7" s="1"/>
  <c r="L143" i="7"/>
  <c r="A143" i="7"/>
  <c r="K143" i="7" s="1"/>
  <c r="L142" i="7"/>
  <c r="A142" i="7"/>
  <c r="K142" i="7" s="1"/>
  <c r="L141" i="7"/>
  <c r="A141" i="7"/>
  <c r="K141" i="7" s="1"/>
  <c r="L140" i="7"/>
  <c r="A140" i="7"/>
  <c r="K140" i="7" s="1"/>
  <c r="L139" i="7"/>
  <c r="A139" i="7"/>
  <c r="K139" i="7" s="1"/>
  <c r="L138" i="7"/>
  <c r="A138" i="7"/>
  <c r="K138" i="7" s="1"/>
  <c r="L137" i="7"/>
  <c r="A137" i="7"/>
  <c r="K137" i="7" s="1"/>
  <c r="L136" i="7"/>
  <c r="A136" i="7"/>
  <c r="K136" i="7" s="1"/>
  <c r="L135" i="7"/>
  <c r="A135" i="7"/>
  <c r="K135" i="7" s="1"/>
  <c r="L134" i="7"/>
  <c r="A134" i="7"/>
  <c r="K134" i="7" s="1"/>
  <c r="L133" i="7"/>
  <c r="A133" i="7"/>
  <c r="K133" i="7" s="1"/>
  <c r="L132" i="7"/>
  <c r="A132" i="7"/>
  <c r="K132" i="7" s="1"/>
  <c r="L131" i="7"/>
  <c r="A131" i="7"/>
  <c r="K131" i="7" s="1"/>
  <c r="L130" i="7"/>
  <c r="A130" i="7"/>
  <c r="K130" i="7" s="1"/>
  <c r="L129" i="7"/>
  <c r="A129" i="7"/>
  <c r="K129" i="7" s="1"/>
  <c r="L128" i="7"/>
  <c r="A128" i="7"/>
  <c r="K128" i="7" s="1"/>
  <c r="L127" i="7"/>
  <c r="A127" i="7"/>
  <c r="K127" i="7" s="1"/>
  <c r="L126" i="7"/>
  <c r="A126" i="7"/>
  <c r="K126" i="7" s="1"/>
  <c r="L125" i="7"/>
  <c r="A125" i="7"/>
  <c r="K125" i="7" s="1"/>
  <c r="L124" i="7"/>
  <c r="A124" i="7"/>
  <c r="K124" i="7" s="1"/>
  <c r="L123" i="7"/>
  <c r="A123" i="7"/>
  <c r="K123" i="7" s="1"/>
  <c r="L122" i="7"/>
  <c r="A122" i="7"/>
  <c r="K122" i="7" s="1"/>
  <c r="L121" i="7"/>
  <c r="A121" i="7"/>
  <c r="K121" i="7" s="1"/>
  <c r="L120" i="7"/>
  <c r="A120" i="7"/>
  <c r="K120" i="7" s="1"/>
  <c r="L119" i="7"/>
  <c r="A119" i="7"/>
  <c r="K119" i="7" s="1"/>
  <c r="L118" i="7"/>
  <c r="A118" i="7"/>
  <c r="K118" i="7" s="1"/>
  <c r="L117" i="7"/>
  <c r="A117" i="7"/>
  <c r="K117" i="7" s="1"/>
  <c r="L116" i="7"/>
  <c r="A116" i="7"/>
  <c r="K116" i="7" s="1"/>
  <c r="L115" i="7"/>
  <c r="A115" i="7"/>
  <c r="K115" i="7" s="1"/>
  <c r="L114" i="7"/>
  <c r="A114" i="7"/>
  <c r="K114" i="7" s="1"/>
  <c r="L113" i="7"/>
  <c r="A113" i="7"/>
  <c r="K113" i="7" s="1"/>
  <c r="L112" i="7"/>
  <c r="A112" i="7"/>
  <c r="K112" i="7" s="1"/>
  <c r="L111" i="7"/>
  <c r="A111" i="7"/>
  <c r="K111" i="7" s="1"/>
  <c r="L110" i="7"/>
  <c r="A110" i="7"/>
  <c r="K110" i="7" s="1"/>
  <c r="L109" i="7"/>
  <c r="A109" i="7"/>
  <c r="K109" i="7" s="1"/>
  <c r="L108" i="7"/>
  <c r="A108" i="7"/>
  <c r="K108" i="7" s="1"/>
  <c r="L107" i="7"/>
  <c r="A107" i="7"/>
  <c r="K107" i="7" s="1"/>
  <c r="L106" i="7"/>
  <c r="A106" i="7"/>
  <c r="K106" i="7" s="1"/>
  <c r="L105" i="7"/>
  <c r="A105" i="7"/>
  <c r="K105" i="7" s="1"/>
  <c r="L104" i="7"/>
  <c r="A104" i="7"/>
  <c r="K104" i="7" s="1"/>
  <c r="L103" i="7"/>
  <c r="A103" i="7"/>
  <c r="K103" i="7" s="1"/>
  <c r="L102" i="7"/>
  <c r="A102" i="7"/>
  <c r="K102" i="7" s="1"/>
  <c r="L101" i="7"/>
  <c r="A101" i="7"/>
  <c r="K101" i="7" s="1"/>
  <c r="L100" i="7"/>
  <c r="A100" i="7"/>
  <c r="K100" i="7" s="1"/>
  <c r="L99" i="7"/>
  <c r="A99" i="7"/>
  <c r="K99" i="7" s="1"/>
  <c r="L98" i="7"/>
  <c r="A98" i="7"/>
  <c r="K98" i="7" s="1"/>
  <c r="L97" i="7"/>
  <c r="A97" i="7"/>
  <c r="K97" i="7" s="1"/>
  <c r="L96" i="7"/>
  <c r="A96" i="7"/>
  <c r="K96" i="7" s="1"/>
  <c r="L95" i="7"/>
  <c r="A95" i="7"/>
  <c r="K95" i="7" s="1"/>
  <c r="L94" i="7"/>
  <c r="A94" i="7"/>
  <c r="K94" i="7" s="1"/>
  <c r="L93" i="7"/>
  <c r="A93" i="7"/>
  <c r="K93" i="7" s="1"/>
  <c r="L92" i="7"/>
  <c r="A92" i="7"/>
  <c r="K92" i="7" s="1"/>
  <c r="L91" i="7"/>
  <c r="A91" i="7"/>
  <c r="K91" i="7" s="1"/>
  <c r="L90" i="7"/>
  <c r="A90" i="7"/>
  <c r="K90" i="7" s="1"/>
  <c r="L89" i="7"/>
  <c r="A89" i="7"/>
  <c r="K89" i="7" s="1"/>
  <c r="L88" i="7"/>
  <c r="A88" i="7"/>
  <c r="K88" i="7" s="1"/>
  <c r="L87" i="7"/>
  <c r="A87" i="7"/>
  <c r="K87" i="7" s="1"/>
  <c r="L86" i="7"/>
  <c r="A86" i="7"/>
  <c r="K86" i="7" s="1"/>
  <c r="L85" i="7"/>
  <c r="A85" i="7"/>
  <c r="K85" i="7" s="1"/>
  <c r="L84" i="7"/>
  <c r="A84" i="7"/>
  <c r="K84" i="7" s="1"/>
  <c r="L83" i="7"/>
  <c r="A83" i="7"/>
  <c r="K83" i="7" s="1"/>
  <c r="L82" i="7"/>
  <c r="A82" i="7"/>
  <c r="K82" i="7" s="1"/>
  <c r="L81" i="7"/>
  <c r="A81" i="7"/>
  <c r="K81" i="7" s="1"/>
  <c r="L80" i="7"/>
  <c r="A80" i="7"/>
  <c r="K80" i="7" s="1"/>
  <c r="L79" i="7"/>
  <c r="A79" i="7"/>
  <c r="K79" i="7" s="1"/>
  <c r="L78" i="7"/>
  <c r="A78" i="7"/>
  <c r="K78" i="7" s="1"/>
  <c r="L77" i="7"/>
  <c r="A77" i="7"/>
  <c r="K77" i="7" s="1"/>
  <c r="L76" i="7"/>
  <c r="A76" i="7"/>
  <c r="K76" i="7" s="1"/>
  <c r="L75" i="7"/>
  <c r="A75" i="7"/>
  <c r="K75" i="7" s="1"/>
  <c r="L74" i="7"/>
  <c r="A74" i="7"/>
  <c r="K74" i="7" s="1"/>
  <c r="L73" i="7"/>
  <c r="A73" i="7"/>
  <c r="K73" i="7" s="1"/>
  <c r="L72" i="7"/>
  <c r="A72" i="7"/>
  <c r="K72" i="7" s="1"/>
  <c r="L71" i="7"/>
  <c r="A71" i="7"/>
  <c r="K71" i="7" s="1"/>
  <c r="L70" i="7"/>
  <c r="A70" i="7"/>
  <c r="K70" i="7" s="1"/>
  <c r="L69" i="7"/>
  <c r="A69" i="7"/>
  <c r="K69" i="7" s="1"/>
  <c r="L68" i="7"/>
  <c r="A68" i="7"/>
  <c r="K68" i="7" s="1"/>
  <c r="L67" i="7"/>
  <c r="A67" i="7"/>
  <c r="K67" i="7" s="1"/>
  <c r="L66" i="7"/>
  <c r="A66" i="7"/>
  <c r="K66" i="7" s="1"/>
  <c r="L65" i="7"/>
  <c r="A65" i="7"/>
  <c r="K65" i="7" s="1"/>
  <c r="L64" i="7"/>
  <c r="A64" i="7"/>
  <c r="K64" i="7" s="1"/>
  <c r="L63" i="7"/>
  <c r="A63" i="7"/>
  <c r="K63" i="7" s="1"/>
  <c r="L62" i="7"/>
  <c r="A62" i="7"/>
  <c r="K62" i="7" s="1"/>
  <c r="L61" i="7"/>
  <c r="A61" i="7"/>
  <c r="K61" i="7" s="1"/>
  <c r="L60" i="7"/>
  <c r="A60" i="7"/>
  <c r="K60" i="7" s="1"/>
  <c r="L59" i="7"/>
  <c r="A59" i="7"/>
  <c r="K59" i="7" s="1"/>
  <c r="L58" i="7"/>
  <c r="A58" i="7"/>
  <c r="K58" i="7" s="1"/>
  <c r="L57" i="7"/>
  <c r="A57" i="7"/>
  <c r="K57" i="7" s="1"/>
  <c r="L56" i="7"/>
  <c r="A56" i="7"/>
  <c r="K56" i="7" s="1"/>
  <c r="L55" i="7"/>
  <c r="A55" i="7"/>
  <c r="K55" i="7" s="1"/>
  <c r="L54" i="7"/>
  <c r="A54" i="7"/>
  <c r="K54" i="7" s="1"/>
  <c r="L53" i="7"/>
  <c r="A53" i="7"/>
  <c r="K53" i="7" s="1"/>
  <c r="L52" i="7"/>
  <c r="A52" i="7"/>
  <c r="K52" i="7" s="1"/>
  <c r="L51" i="7"/>
  <c r="A51" i="7"/>
  <c r="K51" i="7" s="1"/>
  <c r="L50" i="7"/>
  <c r="A50" i="7"/>
  <c r="K50" i="7" s="1"/>
  <c r="L49" i="7"/>
  <c r="A49" i="7"/>
  <c r="K49" i="7" s="1"/>
  <c r="L48" i="7"/>
  <c r="A48" i="7"/>
  <c r="K48" i="7" s="1"/>
  <c r="L47" i="7"/>
  <c r="A47" i="7"/>
  <c r="K47" i="7" s="1"/>
  <c r="L46" i="7"/>
  <c r="A46" i="7"/>
  <c r="K46" i="7" s="1"/>
  <c r="L45" i="7"/>
  <c r="A45" i="7"/>
  <c r="K45" i="7" s="1"/>
  <c r="L44" i="7"/>
  <c r="A44" i="7"/>
  <c r="K44" i="7" s="1"/>
  <c r="L43" i="7"/>
  <c r="A43" i="7"/>
  <c r="K43" i="7" s="1"/>
  <c r="L42" i="7"/>
  <c r="A42" i="7"/>
  <c r="K42" i="7" s="1"/>
  <c r="L41" i="7"/>
  <c r="A41" i="7"/>
  <c r="K41" i="7" s="1"/>
  <c r="L40" i="7"/>
  <c r="A40" i="7"/>
  <c r="K40" i="7" s="1"/>
  <c r="L39" i="7"/>
  <c r="A39" i="7"/>
  <c r="K39" i="7" s="1"/>
  <c r="L38" i="7"/>
  <c r="A38" i="7"/>
  <c r="K38" i="7" s="1"/>
  <c r="L37" i="7"/>
  <c r="A37" i="7"/>
  <c r="K37" i="7" s="1"/>
  <c r="L36" i="7"/>
  <c r="A36" i="7"/>
  <c r="K36" i="7" s="1"/>
  <c r="L35" i="7"/>
  <c r="A35" i="7"/>
  <c r="K35" i="7" s="1"/>
  <c r="L34" i="7"/>
  <c r="A34" i="7"/>
  <c r="K34" i="7" s="1"/>
  <c r="L33" i="7"/>
  <c r="A33" i="7"/>
  <c r="K33" i="7" s="1"/>
  <c r="L32" i="7"/>
  <c r="A32" i="7"/>
  <c r="K32" i="7" s="1"/>
  <c r="L31" i="7"/>
  <c r="A31" i="7"/>
  <c r="K31" i="7" s="1"/>
  <c r="L30" i="7"/>
  <c r="A30" i="7"/>
  <c r="K30" i="7" s="1"/>
  <c r="L29" i="7"/>
  <c r="A29" i="7"/>
  <c r="K29" i="7" s="1"/>
  <c r="L28" i="7"/>
  <c r="A28" i="7"/>
  <c r="K28" i="7" s="1"/>
  <c r="L27" i="7"/>
  <c r="A27" i="7"/>
  <c r="K27" i="7" s="1"/>
  <c r="L26" i="7"/>
  <c r="A26" i="7"/>
  <c r="K26" i="7" s="1"/>
  <c r="L25" i="7"/>
  <c r="A25" i="7"/>
  <c r="K25" i="7" s="1"/>
  <c r="L24" i="7"/>
  <c r="A24" i="7"/>
  <c r="K24" i="7" s="1"/>
  <c r="L23" i="7"/>
  <c r="A23" i="7"/>
  <c r="K23" i="7" s="1"/>
  <c r="L22" i="7"/>
  <c r="A22" i="7"/>
  <c r="K22" i="7" s="1"/>
  <c r="L21" i="7"/>
  <c r="A21" i="7"/>
  <c r="K21" i="7" s="1"/>
  <c r="L20" i="7"/>
  <c r="A20" i="7"/>
  <c r="K20" i="7" s="1"/>
  <c r="L19" i="7"/>
  <c r="A19" i="7"/>
  <c r="K19" i="7" s="1"/>
  <c r="L18" i="7"/>
  <c r="A18" i="7"/>
  <c r="K18" i="7" s="1"/>
  <c r="L17" i="7"/>
  <c r="A17" i="7"/>
  <c r="K17" i="7" s="1"/>
  <c r="L16" i="7"/>
  <c r="A16" i="7"/>
  <c r="K16" i="7" s="1"/>
  <c r="L15" i="7"/>
  <c r="A15" i="7"/>
  <c r="K15" i="7" s="1"/>
  <c r="L14" i="7"/>
  <c r="A14" i="7"/>
  <c r="K14" i="7" s="1"/>
  <c r="L13" i="7"/>
  <c r="A13" i="7"/>
  <c r="K13" i="7" s="1"/>
  <c r="L12" i="7"/>
  <c r="A12" i="7"/>
  <c r="K12" i="7" s="1"/>
  <c r="L11" i="7"/>
  <c r="A11" i="7"/>
  <c r="K11" i="7" s="1"/>
  <c r="L10" i="7"/>
  <c r="A10" i="7"/>
  <c r="K10" i="7" s="1"/>
  <c r="L9" i="7"/>
  <c r="A9" i="7"/>
  <c r="K9" i="7" s="1"/>
  <c r="L8" i="7"/>
  <c r="A8" i="7"/>
  <c r="K8" i="7" s="1"/>
  <c r="L7" i="7"/>
  <c r="A7" i="7"/>
  <c r="K7" i="7" s="1"/>
  <c r="L6" i="7"/>
  <c r="A6" i="7"/>
  <c r="K6" i="7" s="1"/>
  <c r="L5" i="7"/>
  <c r="A5" i="7"/>
  <c r="K5" i="7" s="1"/>
  <c r="L4" i="7"/>
  <c r="A4" i="7"/>
  <c r="G103" i="6"/>
  <c r="I103" i="6" s="1"/>
  <c r="K103" i="6" s="1"/>
  <c r="F103" i="6"/>
  <c r="A103" i="6"/>
  <c r="G102" i="6"/>
  <c r="I102" i="6" s="1"/>
  <c r="K102" i="6" s="1"/>
  <c r="F102" i="6"/>
  <c r="A102" i="6"/>
  <c r="G101" i="6"/>
  <c r="I101" i="6" s="1"/>
  <c r="K101" i="6" s="1"/>
  <c r="F101" i="6"/>
  <c r="A101" i="6"/>
  <c r="G100" i="6"/>
  <c r="I100" i="6" s="1"/>
  <c r="K100" i="6" s="1"/>
  <c r="F100" i="6"/>
  <c r="A100" i="6"/>
  <c r="G99" i="6"/>
  <c r="I99" i="6" s="1"/>
  <c r="K99" i="6" s="1"/>
  <c r="F99" i="6"/>
  <c r="A99" i="6"/>
  <c r="G98" i="6"/>
  <c r="I98" i="6" s="1"/>
  <c r="K98" i="6" s="1"/>
  <c r="F98" i="6"/>
  <c r="A98" i="6"/>
  <c r="G97" i="6"/>
  <c r="I97" i="6" s="1"/>
  <c r="K97" i="6" s="1"/>
  <c r="F97" i="6"/>
  <c r="A97" i="6"/>
  <c r="G96" i="6"/>
  <c r="I96" i="6" s="1"/>
  <c r="K96" i="6" s="1"/>
  <c r="F96" i="6"/>
  <c r="A96" i="6"/>
  <c r="G95" i="6"/>
  <c r="I95" i="6" s="1"/>
  <c r="K95" i="6" s="1"/>
  <c r="F95" i="6"/>
  <c r="A95" i="6"/>
  <c r="G94" i="6"/>
  <c r="I94" i="6" s="1"/>
  <c r="K94" i="6" s="1"/>
  <c r="F94" i="6"/>
  <c r="A94" i="6"/>
  <c r="G93" i="6"/>
  <c r="I93" i="6" s="1"/>
  <c r="K93" i="6" s="1"/>
  <c r="F93" i="6"/>
  <c r="A93" i="6"/>
  <c r="G92" i="6"/>
  <c r="I92" i="6" s="1"/>
  <c r="K92" i="6" s="1"/>
  <c r="F92" i="6"/>
  <c r="A92" i="6"/>
  <c r="G91" i="6"/>
  <c r="I91" i="6" s="1"/>
  <c r="K91" i="6" s="1"/>
  <c r="F91" i="6"/>
  <c r="A91" i="6"/>
  <c r="G90" i="6"/>
  <c r="I90" i="6" s="1"/>
  <c r="K90" i="6" s="1"/>
  <c r="F90" i="6"/>
  <c r="A90" i="6"/>
  <c r="G89" i="6"/>
  <c r="I89" i="6" s="1"/>
  <c r="K89" i="6" s="1"/>
  <c r="F89" i="6"/>
  <c r="A89" i="6"/>
  <c r="G88" i="6"/>
  <c r="I88" i="6" s="1"/>
  <c r="K88" i="6" s="1"/>
  <c r="F88" i="6"/>
  <c r="A88" i="6"/>
  <c r="G87" i="6"/>
  <c r="I87" i="6" s="1"/>
  <c r="K87" i="6" s="1"/>
  <c r="F87" i="6"/>
  <c r="A87" i="6"/>
  <c r="G86" i="6"/>
  <c r="I86" i="6" s="1"/>
  <c r="K86" i="6" s="1"/>
  <c r="F86" i="6"/>
  <c r="A86" i="6"/>
  <c r="G85" i="6"/>
  <c r="I85" i="6" s="1"/>
  <c r="K85" i="6" s="1"/>
  <c r="F85" i="6"/>
  <c r="A85" i="6"/>
  <c r="G84" i="6"/>
  <c r="I84" i="6" s="1"/>
  <c r="K84" i="6" s="1"/>
  <c r="F84" i="6"/>
  <c r="A84" i="6"/>
  <c r="G83" i="6"/>
  <c r="I83" i="6" s="1"/>
  <c r="K83" i="6" s="1"/>
  <c r="F83" i="6"/>
  <c r="A83" i="6"/>
  <c r="G82" i="6"/>
  <c r="I82" i="6" s="1"/>
  <c r="K82" i="6" s="1"/>
  <c r="F82" i="6"/>
  <c r="A82" i="6"/>
  <c r="G81" i="6"/>
  <c r="I81" i="6" s="1"/>
  <c r="K81" i="6" s="1"/>
  <c r="F81" i="6"/>
  <c r="A81" i="6"/>
  <c r="G80" i="6"/>
  <c r="I80" i="6" s="1"/>
  <c r="K80" i="6" s="1"/>
  <c r="F80" i="6"/>
  <c r="A80" i="6"/>
  <c r="G79" i="6"/>
  <c r="I79" i="6" s="1"/>
  <c r="K79" i="6" s="1"/>
  <c r="F79" i="6"/>
  <c r="A79" i="6"/>
  <c r="G78" i="6"/>
  <c r="I78" i="6" s="1"/>
  <c r="K78" i="6" s="1"/>
  <c r="F78" i="6"/>
  <c r="A78" i="6"/>
  <c r="G77" i="6"/>
  <c r="I77" i="6" s="1"/>
  <c r="K77" i="6" s="1"/>
  <c r="F77" i="6"/>
  <c r="A77" i="6"/>
  <c r="G76" i="6"/>
  <c r="I76" i="6" s="1"/>
  <c r="K76" i="6" s="1"/>
  <c r="F76" i="6"/>
  <c r="A76" i="6"/>
  <c r="G75" i="6"/>
  <c r="I75" i="6" s="1"/>
  <c r="K75" i="6" s="1"/>
  <c r="F75" i="6"/>
  <c r="A75" i="6"/>
  <c r="G74" i="6"/>
  <c r="I74" i="6" s="1"/>
  <c r="K74" i="6" s="1"/>
  <c r="F74" i="6"/>
  <c r="A74" i="6"/>
  <c r="G73" i="6"/>
  <c r="I73" i="6" s="1"/>
  <c r="K73" i="6" s="1"/>
  <c r="F73" i="6"/>
  <c r="A73" i="6"/>
  <c r="G72" i="6"/>
  <c r="I72" i="6" s="1"/>
  <c r="K72" i="6" s="1"/>
  <c r="F72" i="6"/>
  <c r="A72" i="6"/>
  <c r="G71" i="6"/>
  <c r="I71" i="6" s="1"/>
  <c r="K71" i="6" s="1"/>
  <c r="F71" i="6"/>
  <c r="A71" i="6"/>
  <c r="G70" i="6"/>
  <c r="I70" i="6" s="1"/>
  <c r="K70" i="6" s="1"/>
  <c r="F70" i="6"/>
  <c r="A70" i="6"/>
  <c r="G69" i="6"/>
  <c r="I69" i="6" s="1"/>
  <c r="K69" i="6" s="1"/>
  <c r="F69" i="6"/>
  <c r="A69" i="6"/>
  <c r="G68" i="6"/>
  <c r="I68" i="6" s="1"/>
  <c r="K68" i="6" s="1"/>
  <c r="F68" i="6"/>
  <c r="A68" i="6"/>
  <c r="G67" i="6"/>
  <c r="I67" i="6" s="1"/>
  <c r="K67" i="6" s="1"/>
  <c r="F67" i="6"/>
  <c r="A67" i="6"/>
  <c r="G66" i="6"/>
  <c r="I66" i="6" s="1"/>
  <c r="K66" i="6" s="1"/>
  <c r="F66" i="6"/>
  <c r="A66" i="6"/>
  <c r="G65" i="6"/>
  <c r="I65" i="6" s="1"/>
  <c r="K65" i="6" s="1"/>
  <c r="F65" i="6"/>
  <c r="A65" i="6"/>
  <c r="G64" i="6"/>
  <c r="I64" i="6" s="1"/>
  <c r="K64" i="6" s="1"/>
  <c r="F64" i="6"/>
  <c r="A64" i="6"/>
  <c r="G63" i="6"/>
  <c r="I63" i="6" s="1"/>
  <c r="K63" i="6" s="1"/>
  <c r="F63" i="6"/>
  <c r="A63" i="6"/>
  <c r="G62" i="6"/>
  <c r="I62" i="6" s="1"/>
  <c r="K62" i="6" s="1"/>
  <c r="F62" i="6"/>
  <c r="A62" i="6"/>
  <c r="G61" i="6"/>
  <c r="I61" i="6" s="1"/>
  <c r="K61" i="6" s="1"/>
  <c r="F61" i="6"/>
  <c r="A61" i="6"/>
  <c r="G60" i="6"/>
  <c r="I60" i="6" s="1"/>
  <c r="K60" i="6" s="1"/>
  <c r="F60" i="6"/>
  <c r="A60" i="6"/>
  <c r="G59" i="6"/>
  <c r="I59" i="6" s="1"/>
  <c r="K59" i="6" s="1"/>
  <c r="F59" i="6"/>
  <c r="A59" i="6"/>
  <c r="G58" i="6"/>
  <c r="I58" i="6" s="1"/>
  <c r="K58" i="6" s="1"/>
  <c r="F58" i="6"/>
  <c r="A58" i="6"/>
  <c r="G57" i="6"/>
  <c r="I57" i="6" s="1"/>
  <c r="K57" i="6" s="1"/>
  <c r="F57" i="6"/>
  <c r="A57" i="6"/>
  <c r="G56" i="6"/>
  <c r="I56" i="6" s="1"/>
  <c r="K56" i="6" s="1"/>
  <c r="F56" i="6"/>
  <c r="A56" i="6"/>
  <c r="G55" i="6"/>
  <c r="I55" i="6" s="1"/>
  <c r="K55" i="6" s="1"/>
  <c r="F55" i="6"/>
  <c r="A55" i="6"/>
  <c r="G54" i="6"/>
  <c r="I54" i="6" s="1"/>
  <c r="K54" i="6" s="1"/>
  <c r="F54" i="6"/>
  <c r="A54" i="6"/>
  <c r="G53" i="6"/>
  <c r="I53" i="6" s="1"/>
  <c r="K53" i="6" s="1"/>
  <c r="F53" i="6"/>
  <c r="A53" i="6"/>
  <c r="G52" i="6"/>
  <c r="I52" i="6" s="1"/>
  <c r="K52" i="6" s="1"/>
  <c r="F52" i="6"/>
  <c r="A52" i="6"/>
  <c r="G51" i="6"/>
  <c r="I51" i="6" s="1"/>
  <c r="K51" i="6" s="1"/>
  <c r="F51" i="6"/>
  <c r="A51" i="6"/>
  <c r="G50" i="6"/>
  <c r="I50" i="6" s="1"/>
  <c r="K50" i="6" s="1"/>
  <c r="F50" i="6"/>
  <c r="A50" i="6"/>
  <c r="G49" i="6"/>
  <c r="I49" i="6" s="1"/>
  <c r="K49" i="6" s="1"/>
  <c r="F49" i="6"/>
  <c r="A49" i="6"/>
  <c r="G48" i="6"/>
  <c r="I48" i="6" s="1"/>
  <c r="K48" i="6" s="1"/>
  <c r="F48" i="6"/>
  <c r="A48" i="6"/>
  <c r="G47" i="6"/>
  <c r="I47" i="6" s="1"/>
  <c r="K47" i="6" s="1"/>
  <c r="F47" i="6"/>
  <c r="A47" i="6"/>
  <c r="G46" i="6"/>
  <c r="I46" i="6" s="1"/>
  <c r="K46" i="6" s="1"/>
  <c r="F46" i="6"/>
  <c r="A46" i="6"/>
  <c r="G45" i="6"/>
  <c r="I45" i="6" s="1"/>
  <c r="K45" i="6" s="1"/>
  <c r="F45" i="6"/>
  <c r="A45" i="6"/>
  <c r="G44" i="6"/>
  <c r="I44" i="6" s="1"/>
  <c r="K44" i="6" s="1"/>
  <c r="F44" i="6"/>
  <c r="A44" i="6"/>
  <c r="G43" i="6"/>
  <c r="I43" i="6" s="1"/>
  <c r="K43" i="6" s="1"/>
  <c r="F43" i="6"/>
  <c r="A43" i="6"/>
  <c r="G42" i="6"/>
  <c r="I42" i="6" s="1"/>
  <c r="K42" i="6" s="1"/>
  <c r="F42" i="6"/>
  <c r="A42" i="6"/>
  <c r="G41" i="6"/>
  <c r="I41" i="6" s="1"/>
  <c r="K41" i="6" s="1"/>
  <c r="F41" i="6"/>
  <c r="A41" i="6"/>
  <c r="G40" i="6"/>
  <c r="I40" i="6" s="1"/>
  <c r="K40" i="6" s="1"/>
  <c r="F40" i="6"/>
  <c r="A40" i="6"/>
  <c r="G39" i="6"/>
  <c r="I39" i="6" s="1"/>
  <c r="K39" i="6" s="1"/>
  <c r="F39" i="6"/>
  <c r="A39" i="6"/>
  <c r="G38" i="6"/>
  <c r="I38" i="6" s="1"/>
  <c r="K38" i="6" s="1"/>
  <c r="F38" i="6"/>
  <c r="A38" i="6"/>
  <c r="G37" i="6"/>
  <c r="I37" i="6" s="1"/>
  <c r="K37" i="6" s="1"/>
  <c r="F37" i="6"/>
  <c r="A37" i="6"/>
  <c r="G36" i="6"/>
  <c r="I36" i="6" s="1"/>
  <c r="K36" i="6" s="1"/>
  <c r="F36" i="6"/>
  <c r="A36" i="6"/>
  <c r="G35" i="6"/>
  <c r="I35" i="6" s="1"/>
  <c r="K35" i="6" s="1"/>
  <c r="F35" i="6"/>
  <c r="A35" i="6"/>
  <c r="G34" i="6"/>
  <c r="I34" i="6" s="1"/>
  <c r="K34" i="6" s="1"/>
  <c r="F34" i="6"/>
  <c r="A34" i="6"/>
  <c r="G33" i="6"/>
  <c r="I33" i="6" s="1"/>
  <c r="K33" i="6" s="1"/>
  <c r="F33" i="6"/>
  <c r="A33" i="6"/>
  <c r="G32" i="6"/>
  <c r="I32" i="6" s="1"/>
  <c r="K32" i="6" s="1"/>
  <c r="F32" i="6"/>
  <c r="A32" i="6"/>
  <c r="G31" i="6"/>
  <c r="I31" i="6" s="1"/>
  <c r="K31" i="6" s="1"/>
  <c r="F31" i="6"/>
  <c r="A31" i="6"/>
  <c r="G30" i="6"/>
  <c r="I30" i="6" s="1"/>
  <c r="K30" i="6" s="1"/>
  <c r="F30" i="6"/>
  <c r="A30" i="6"/>
  <c r="G29" i="6"/>
  <c r="I29" i="6" s="1"/>
  <c r="K29" i="6" s="1"/>
  <c r="F29" i="6"/>
  <c r="A29" i="6"/>
  <c r="G28" i="6"/>
  <c r="I28" i="6" s="1"/>
  <c r="K28" i="6" s="1"/>
  <c r="F28" i="6"/>
  <c r="A28" i="6"/>
  <c r="G27" i="6"/>
  <c r="I27" i="6" s="1"/>
  <c r="K27" i="6" s="1"/>
  <c r="F27" i="6"/>
  <c r="A27" i="6"/>
  <c r="G26" i="6"/>
  <c r="I26" i="6" s="1"/>
  <c r="K26" i="6" s="1"/>
  <c r="F26" i="6"/>
  <c r="A26" i="6"/>
  <c r="G25" i="6"/>
  <c r="I25" i="6" s="1"/>
  <c r="K25" i="6" s="1"/>
  <c r="F25" i="6"/>
  <c r="A25" i="6"/>
  <c r="G24" i="6"/>
  <c r="I24" i="6" s="1"/>
  <c r="K24" i="6" s="1"/>
  <c r="F24" i="6"/>
  <c r="A24" i="6"/>
  <c r="G23" i="6"/>
  <c r="I23" i="6" s="1"/>
  <c r="K23" i="6" s="1"/>
  <c r="F23" i="6"/>
  <c r="A23" i="6"/>
  <c r="G22" i="6"/>
  <c r="I22" i="6" s="1"/>
  <c r="K22" i="6" s="1"/>
  <c r="F22" i="6"/>
  <c r="A22" i="6"/>
  <c r="G21" i="6"/>
  <c r="I21" i="6" s="1"/>
  <c r="K21" i="6" s="1"/>
  <c r="F21" i="6"/>
  <c r="A21" i="6"/>
  <c r="G20" i="6"/>
  <c r="I20" i="6" s="1"/>
  <c r="K20" i="6" s="1"/>
  <c r="F20" i="6"/>
  <c r="A20" i="6"/>
  <c r="G19" i="6"/>
  <c r="I19" i="6" s="1"/>
  <c r="K19" i="6" s="1"/>
  <c r="F19" i="6"/>
  <c r="A19" i="6"/>
  <c r="G18" i="6"/>
  <c r="I18" i="6" s="1"/>
  <c r="K18" i="6" s="1"/>
  <c r="F18" i="6"/>
  <c r="A18" i="6"/>
  <c r="G17" i="6"/>
  <c r="I17" i="6" s="1"/>
  <c r="K17" i="6" s="1"/>
  <c r="F17" i="6"/>
  <c r="A17" i="6"/>
  <c r="G16" i="6"/>
  <c r="I16" i="6" s="1"/>
  <c r="K16" i="6" s="1"/>
  <c r="F16" i="6"/>
  <c r="A16" i="6"/>
  <c r="G15" i="6"/>
  <c r="I15" i="6" s="1"/>
  <c r="K15" i="6" s="1"/>
  <c r="F15" i="6"/>
  <c r="A15" i="6"/>
  <c r="G14" i="6"/>
  <c r="I14" i="6" s="1"/>
  <c r="K14" i="6" s="1"/>
  <c r="F14" i="6"/>
  <c r="A14" i="6"/>
  <c r="G13" i="6"/>
  <c r="I13" i="6" s="1"/>
  <c r="K13" i="6" s="1"/>
  <c r="F13" i="6"/>
  <c r="A13" i="6"/>
  <c r="G12" i="6"/>
  <c r="I12" i="6" s="1"/>
  <c r="K12" i="6" s="1"/>
  <c r="F12" i="6"/>
  <c r="A12" i="6"/>
  <c r="G11" i="6"/>
  <c r="I11" i="6" s="1"/>
  <c r="K11" i="6" s="1"/>
  <c r="F11" i="6"/>
  <c r="A11" i="6"/>
  <c r="G10" i="6"/>
  <c r="I10" i="6" s="1"/>
  <c r="K10" i="6" s="1"/>
  <c r="F10" i="6"/>
  <c r="A10" i="6"/>
  <c r="G9" i="6"/>
  <c r="I9" i="6" s="1"/>
  <c r="K9" i="6" s="1"/>
  <c r="F9" i="6"/>
  <c r="A9" i="6"/>
  <c r="G8" i="6"/>
  <c r="I8" i="6" s="1"/>
  <c r="K8" i="6" s="1"/>
  <c r="F8" i="6"/>
  <c r="A8" i="6"/>
  <c r="G7" i="6"/>
  <c r="I7" i="6" s="1"/>
  <c r="K7" i="6" s="1"/>
  <c r="F7" i="6"/>
  <c r="A7" i="6"/>
  <c r="G6" i="6"/>
  <c r="I6" i="6" s="1"/>
  <c r="K6" i="6" s="1"/>
  <c r="F6" i="6"/>
  <c r="A6" i="6"/>
  <c r="G5" i="6"/>
  <c r="I5" i="6" s="1"/>
  <c r="K5" i="6" s="1"/>
  <c r="F5" i="6"/>
  <c r="A5" i="6"/>
  <c r="G4" i="6"/>
  <c r="I4" i="6" s="1"/>
  <c r="K4" i="6" s="1"/>
  <c r="F4" i="6"/>
  <c r="A4" i="6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E4" i="4"/>
  <c r="G17" i="3"/>
  <c r="H17" i="3" s="1"/>
  <c r="G16" i="3"/>
  <c r="H16" i="3" s="1"/>
  <c r="G15" i="3"/>
  <c r="H15" i="3" s="1"/>
  <c r="G14" i="3"/>
  <c r="H14" i="3" s="1"/>
  <c r="G13" i="3"/>
  <c r="H13" i="3" s="1"/>
  <c r="G12" i="3"/>
  <c r="H12" i="3" s="1"/>
  <c r="G11" i="3"/>
  <c r="H11" i="3" s="1"/>
  <c r="G10" i="3"/>
  <c r="H10" i="3" s="1"/>
  <c r="G9" i="3"/>
  <c r="H9" i="3" s="1"/>
  <c r="G8" i="3"/>
  <c r="H8" i="3" s="1"/>
  <c r="G7" i="3"/>
  <c r="H7" i="3" s="1"/>
  <c r="G6" i="3"/>
  <c r="H6" i="3" s="1"/>
  <c r="G5" i="3"/>
  <c r="H5" i="3" s="1"/>
  <c r="G4" i="3"/>
  <c r="H4" i="3" s="1"/>
  <c r="B14" i="1"/>
  <c r="B13" i="1"/>
  <c r="B12" i="1"/>
  <c r="B11" i="1"/>
  <c r="B10" i="1"/>
  <c r="B9" i="1"/>
  <c r="B8" i="1"/>
  <c r="B7" i="1"/>
  <c r="B6" i="1"/>
  <c r="B5" i="1"/>
  <c r="B4" i="1"/>
  <c r="B13" i="12" l="1"/>
  <c r="B12" i="12"/>
  <c r="B11" i="12"/>
  <c r="B10" i="12"/>
  <c r="B8" i="12"/>
  <c r="B9" i="12" s="1"/>
  <c r="B7" i="12"/>
  <c r="B6" i="12"/>
  <c r="B5" i="12"/>
  <c r="K4" i="7"/>
  <c r="I4" i="11"/>
  <c r="H4" i="11"/>
  <c r="G4" i="11"/>
  <c r="F4" i="11"/>
  <c r="E4" i="11"/>
  <c r="D4" i="11"/>
  <c r="C4" i="11"/>
  <c r="I5" i="11"/>
  <c r="H5" i="11"/>
  <c r="G5" i="11"/>
  <c r="F5" i="11"/>
  <c r="E5" i="11"/>
  <c r="D5" i="11"/>
  <c r="C5" i="11"/>
  <c r="I6" i="11"/>
  <c r="H6" i="11"/>
  <c r="G6" i="11"/>
  <c r="F6" i="11"/>
  <c r="E6" i="11"/>
  <c r="D6" i="11"/>
  <c r="C6" i="11"/>
  <c r="I7" i="11"/>
  <c r="H7" i="11"/>
  <c r="G7" i="11"/>
  <c r="F7" i="11"/>
  <c r="E7" i="11"/>
  <c r="D7" i="11"/>
  <c r="C7" i="11"/>
  <c r="I8" i="11"/>
  <c r="H8" i="11"/>
  <c r="G8" i="11"/>
  <c r="F8" i="11"/>
  <c r="E8" i="11"/>
  <c r="D8" i="11"/>
  <c r="C8" i="11"/>
  <c r="I9" i="11"/>
  <c r="H9" i="11"/>
  <c r="G9" i="11"/>
  <c r="F9" i="11"/>
  <c r="E9" i="11"/>
  <c r="D9" i="11"/>
  <c r="C9" i="11"/>
  <c r="I10" i="11"/>
  <c r="H10" i="11"/>
  <c r="G10" i="11"/>
  <c r="F10" i="11"/>
  <c r="E10" i="11"/>
  <c r="D10" i="11"/>
  <c r="C10" i="11"/>
  <c r="I11" i="11"/>
  <c r="H11" i="11"/>
  <c r="G11" i="11"/>
  <c r="F11" i="11"/>
  <c r="E11" i="11"/>
  <c r="D11" i="11"/>
  <c r="C11" i="11"/>
  <c r="I12" i="11"/>
  <c r="H12" i="11"/>
  <c r="G12" i="11"/>
  <c r="F12" i="11"/>
  <c r="E12" i="11"/>
  <c r="D12" i="11"/>
  <c r="C12" i="11"/>
  <c r="I13" i="11"/>
  <c r="H13" i="11"/>
  <c r="G13" i="11"/>
  <c r="F13" i="11"/>
  <c r="E13" i="11"/>
  <c r="D13" i="11"/>
  <c r="C13" i="11"/>
  <c r="I14" i="11"/>
  <c r="H14" i="11"/>
  <c r="G14" i="11"/>
  <c r="F14" i="11"/>
  <c r="E14" i="11"/>
  <c r="D14" i="11"/>
  <c r="C14" i="11"/>
  <c r="I15" i="11"/>
  <c r="H15" i="11"/>
  <c r="G15" i="11"/>
  <c r="F15" i="11"/>
  <c r="E15" i="11"/>
  <c r="D15" i="11"/>
  <c r="C15" i="11"/>
  <c r="I16" i="11"/>
  <c r="H16" i="11"/>
  <c r="G16" i="11"/>
  <c r="F16" i="11"/>
  <c r="E16" i="11"/>
  <c r="D16" i="11"/>
  <c r="C16" i="11"/>
  <c r="I17" i="11"/>
  <c r="H17" i="11"/>
  <c r="G17" i="11"/>
  <c r="F17" i="11"/>
  <c r="E17" i="11"/>
  <c r="D17" i="11"/>
  <c r="C17" i="11"/>
  <c r="I18" i="11"/>
  <c r="H18" i="11"/>
  <c r="G18" i="11"/>
  <c r="F18" i="11"/>
  <c r="E18" i="11"/>
  <c r="D18" i="11"/>
  <c r="C18" i="11"/>
  <c r="I19" i="11"/>
  <c r="H19" i="11"/>
  <c r="G19" i="11"/>
  <c r="F19" i="11"/>
  <c r="E19" i="11"/>
  <c r="D19" i="11"/>
  <c r="C19" i="11"/>
  <c r="I20" i="11"/>
  <c r="H20" i="11"/>
  <c r="G20" i="11"/>
  <c r="F20" i="11"/>
  <c r="E20" i="11"/>
  <c r="D20" i="11"/>
  <c r="C20" i="11"/>
  <c r="I21" i="11"/>
  <c r="H21" i="11"/>
  <c r="G21" i="11"/>
  <c r="F21" i="11"/>
  <c r="E21" i="11"/>
  <c r="D21" i="11"/>
  <c r="C21" i="11"/>
  <c r="I22" i="11"/>
  <c r="H22" i="11"/>
  <c r="G22" i="11"/>
  <c r="F22" i="11"/>
  <c r="E22" i="11"/>
  <c r="D22" i="11"/>
  <c r="C22" i="11"/>
  <c r="I23" i="11"/>
  <c r="H23" i="11"/>
  <c r="G23" i="11"/>
  <c r="F23" i="11"/>
  <c r="E23" i="11"/>
  <c r="D23" i="11"/>
  <c r="C23" i="11"/>
  <c r="I24" i="11"/>
  <c r="H24" i="11"/>
  <c r="G24" i="11"/>
  <c r="F24" i="11"/>
  <c r="E24" i="11"/>
  <c r="D24" i="11"/>
  <c r="C24" i="11"/>
  <c r="I25" i="11"/>
  <c r="H25" i="11"/>
  <c r="G25" i="11"/>
  <c r="F25" i="11"/>
  <c r="E25" i="11"/>
  <c r="D25" i="11"/>
  <c r="C25" i="11"/>
  <c r="I26" i="11"/>
  <c r="H26" i="11"/>
  <c r="G26" i="11"/>
  <c r="F26" i="11"/>
  <c r="E26" i="11"/>
  <c r="D26" i="11"/>
  <c r="C26" i="11"/>
  <c r="I27" i="11"/>
  <c r="H27" i="11"/>
  <c r="G27" i="11"/>
  <c r="F27" i="11"/>
  <c r="E27" i="11"/>
  <c r="D27" i="11"/>
  <c r="C27" i="11"/>
  <c r="I28" i="11"/>
  <c r="H28" i="11"/>
  <c r="G28" i="11"/>
  <c r="F28" i="11"/>
  <c r="E28" i="11"/>
  <c r="D28" i="11"/>
  <c r="C28" i="11"/>
  <c r="I29" i="11"/>
  <c r="H29" i="11"/>
  <c r="G29" i="11"/>
  <c r="F29" i="11"/>
  <c r="E29" i="11"/>
  <c r="D29" i="11"/>
  <c r="C29" i="11"/>
  <c r="I30" i="11"/>
  <c r="H30" i="11"/>
  <c r="G30" i="11"/>
  <c r="F30" i="11"/>
  <c r="E30" i="11"/>
  <c r="D30" i="11"/>
  <c r="C30" i="11"/>
  <c r="I31" i="11"/>
  <c r="H31" i="11"/>
  <c r="G31" i="11"/>
  <c r="F31" i="11"/>
  <c r="E31" i="11"/>
  <c r="D31" i="11"/>
  <c r="C31" i="11"/>
  <c r="I32" i="11"/>
  <c r="H32" i="11"/>
  <c r="G32" i="11"/>
  <c r="F32" i="11"/>
  <c r="E32" i="11"/>
  <c r="D32" i="11"/>
  <c r="C32" i="11"/>
  <c r="I33" i="11"/>
  <c r="H33" i="11"/>
  <c r="G33" i="11"/>
  <c r="F33" i="11"/>
  <c r="E33" i="11"/>
  <c r="D33" i="11"/>
  <c r="C33" i="11"/>
  <c r="I34" i="11"/>
  <c r="H34" i="11"/>
  <c r="G34" i="11"/>
  <c r="F34" i="11"/>
  <c r="E34" i="11"/>
  <c r="D34" i="11"/>
  <c r="C34" i="11"/>
  <c r="I35" i="11"/>
  <c r="H35" i="11"/>
  <c r="G35" i="11"/>
  <c r="F35" i="11"/>
  <c r="E35" i="11"/>
  <c r="D35" i="11"/>
  <c r="C35" i="11"/>
  <c r="I36" i="11"/>
  <c r="H36" i="11"/>
  <c r="G36" i="11"/>
  <c r="F36" i="11"/>
  <c r="E36" i="11"/>
  <c r="D36" i="11"/>
  <c r="C36" i="11"/>
  <c r="I37" i="11"/>
  <c r="H37" i="11"/>
  <c r="G37" i="11"/>
  <c r="F37" i="11"/>
  <c r="E37" i="11"/>
  <c r="D37" i="11"/>
  <c r="C37" i="11"/>
  <c r="I38" i="11"/>
  <c r="H38" i="11"/>
  <c r="G38" i="11"/>
  <c r="F38" i="11"/>
  <c r="E38" i="11"/>
  <c r="D38" i="11"/>
  <c r="C38" i="11"/>
  <c r="I39" i="11"/>
  <c r="H39" i="11"/>
  <c r="G39" i="11"/>
  <c r="F39" i="11"/>
  <c r="E39" i="11"/>
  <c r="D39" i="11"/>
  <c r="C39" i="11"/>
  <c r="I40" i="11"/>
  <c r="H40" i="11"/>
  <c r="G40" i="11"/>
  <c r="F40" i="11"/>
  <c r="E40" i="11"/>
  <c r="D40" i="11"/>
  <c r="C40" i="11"/>
  <c r="I41" i="11"/>
  <c r="H41" i="11"/>
  <c r="G41" i="11"/>
  <c r="F41" i="11"/>
  <c r="E41" i="11"/>
  <c r="D41" i="11"/>
  <c r="C41" i="11"/>
  <c r="I42" i="11"/>
  <c r="H42" i="11"/>
  <c r="G42" i="11"/>
  <c r="F42" i="11"/>
  <c r="E42" i="11"/>
  <c r="D42" i="11"/>
  <c r="C42" i="11"/>
  <c r="I43" i="11"/>
  <c r="H43" i="11"/>
  <c r="G43" i="11"/>
  <c r="F43" i="11"/>
  <c r="E43" i="11"/>
  <c r="D43" i="11"/>
  <c r="C43" i="11"/>
  <c r="I44" i="11"/>
  <c r="H44" i="11"/>
  <c r="G44" i="11"/>
  <c r="F44" i="11"/>
  <c r="E44" i="11"/>
  <c r="D44" i="11"/>
  <c r="C44" i="11"/>
  <c r="I45" i="11"/>
  <c r="H45" i="11"/>
  <c r="G45" i="11"/>
  <c r="F45" i="11"/>
  <c r="E45" i="11"/>
  <c r="D45" i="11"/>
  <c r="C45" i="11"/>
  <c r="I46" i="11"/>
  <c r="H46" i="11"/>
  <c r="G46" i="11"/>
  <c r="F46" i="11"/>
  <c r="E46" i="11"/>
  <c r="D46" i="11"/>
  <c r="C46" i="11"/>
  <c r="I47" i="11"/>
  <c r="H47" i="11"/>
  <c r="G47" i="11"/>
  <c r="F47" i="11"/>
  <c r="E47" i="11"/>
  <c r="D47" i="11"/>
  <c r="C47" i="11"/>
  <c r="I48" i="11"/>
  <c r="H48" i="11"/>
  <c r="G48" i="11"/>
  <c r="F48" i="11"/>
  <c r="E48" i="11"/>
  <c r="D48" i="11"/>
  <c r="C48" i="11"/>
  <c r="I49" i="11"/>
  <c r="H49" i="11"/>
  <c r="G49" i="11"/>
  <c r="F49" i="11"/>
  <c r="E49" i="11"/>
  <c r="D49" i="11"/>
  <c r="C49" i="11"/>
  <c r="I50" i="11"/>
  <c r="H50" i="11"/>
  <c r="G50" i="11"/>
  <c r="F50" i="11"/>
  <c r="E50" i="11"/>
  <c r="D50" i="11"/>
  <c r="C50" i="11"/>
  <c r="I51" i="11"/>
  <c r="H51" i="11"/>
  <c r="G51" i="11"/>
  <c r="F51" i="11"/>
  <c r="E51" i="11"/>
  <c r="D51" i="11"/>
  <c r="C51" i="11"/>
  <c r="I52" i="11"/>
  <c r="H52" i="11"/>
  <c r="G52" i="11"/>
  <c r="F52" i="11"/>
  <c r="E52" i="11"/>
  <c r="D52" i="11"/>
  <c r="C52" i="11"/>
  <c r="I53" i="11"/>
  <c r="H53" i="11"/>
  <c r="G53" i="11"/>
  <c r="F53" i="11"/>
  <c r="E53" i="11"/>
  <c r="D53" i="11"/>
  <c r="C53" i="11"/>
  <c r="I54" i="11"/>
  <c r="H54" i="11"/>
  <c r="G54" i="11"/>
  <c r="F54" i="11"/>
  <c r="E54" i="11"/>
  <c r="D54" i="11"/>
  <c r="C54" i="11"/>
  <c r="I55" i="11"/>
  <c r="H55" i="11"/>
  <c r="G55" i="11"/>
  <c r="F55" i="11"/>
  <c r="E55" i="11"/>
  <c r="D55" i="11"/>
  <c r="C55" i="11"/>
  <c r="I56" i="11"/>
  <c r="H56" i="11"/>
  <c r="G56" i="11"/>
  <c r="F56" i="11"/>
  <c r="E56" i="11"/>
  <c r="D56" i="11"/>
  <c r="C56" i="11"/>
  <c r="I57" i="11"/>
  <c r="H57" i="11"/>
  <c r="G57" i="11"/>
  <c r="F57" i="11"/>
  <c r="E57" i="11"/>
  <c r="D57" i="11"/>
  <c r="C57" i="11"/>
  <c r="I58" i="11"/>
  <c r="H58" i="11"/>
  <c r="G58" i="11"/>
  <c r="F58" i="11"/>
  <c r="E58" i="11"/>
  <c r="D58" i="11"/>
  <c r="C58" i="11"/>
  <c r="I59" i="11"/>
  <c r="H59" i="11"/>
  <c r="G59" i="11"/>
  <c r="F59" i="11"/>
  <c r="E59" i="11"/>
  <c r="D59" i="11"/>
  <c r="C59" i="11"/>
  <c r="I60" i="11"/>
  <c r="H60" i="11"/>
  <c r="G60" i="11"/>
  <c r="F60" i="11"/>
  <c r="E60" i="11"/>
  <c r="D60" i="11"/>
  <c r="C60" i="11"/>
  <c r="I61" i="11"/>
  <c r="H61" i="11"/>
  <c r="G61" i="11"/>
  <c r="F61" i="11"/>
  <c r="E61" i="11"/>
  <c r="D61" i="11"/>
  <c r="C61" i="11"/>
  <c r="I62" i="11"/>
  <c r="H62" i="11"/>
  <c r="G62" i="11"/>
  <c r="F62" i="11"/>
  <c r="E62" i="11"/>
  <c r="D62" i="11"/>
  <c r="C62" i="11"/>
  <c r="I63" i="11"/>
  <c r="H63" i="11"/>
  <c r="G63" i="11"/>
  <c r="F63" i="11"/>
  <c r="E63" i="11"/>
  <c r="D63" i="11"/>
  <c r="C63" i="11"/>
  <c r="I64" i="11"/>
  <c r="H64" i="11"/>
  <c r="G64" i="11"/>
  <c r="F64" i="11"/>
  <c r="E64" i="11"/>
  <c r="D64" i="11"/>
  <c r="C64" i="11"/>
  <c r="I65" i="11"/>
  <c r="H65" i="11"/>
  <c r="G65" i="11"/>
  <c r="F65" i="11"/>
  <c r="E65" i="11"/>
  <c r="D65" i="11"/>
  <c r="C65" i="11"/>
  <c r="I66" i="11"/>
  <c r="H66" i="11"/>
  <c r="G66" i="11"/>
  <c r="F66" i="11"/>
  <c r="E66" i="11"/>
  <c r="D66" i="11"/>
  <c r="C66" i="11"/>
  <c r="I67" i="11"/>
  <c r="H67" i="11"/>
  <c r="G67" i="11"/>
  <c r="F67" i="11"/>
  <c r="E67" i="11"/>
  <c r="D67" i="11"/>
  <c r="C67" i="11"/>
  <c r="I68" i="11"/>
  <c r="H68" i="11"/>
  <c r="G68" i="11"/>
  <c r="F68" i="11"/>
  <c r="E68" i="11"/>
  <c r="D68" i="11"/>
  <c r="C68" i="11"/>
  <c r="I69" i="11"/>
  <c r="H69" i="11"/>
  <c r="G69" i="11"/>
  <c r="F69" i="11"/>
  <c r="E69" i="11"/>
  <c r="D69" i="11"/>
  <c r="C69" i="11"/>
  <c r="I70" i="11"/>
  <c r="H70" i="11"/>
  <c r="G70" i="11"/>
  <c r="F70" i="11"/>
  <c r="E70" i="11"/>
  <c r="D70" i="11"/>
  <c r="C70" i="11"/>
  <c r="I71" i="11"/>
  <c r="H71" i="11"/>
  <c r="G71" i="11"/>
  <c r="F71" i="11"/>
  <c r="E71" i="11"/>
  <c r="D71" i="11"/>
  <c r="C71" i="11"/>
  <c r="I72" i="11"/>
  <c r="H72" i="11"/>
  <c r="G72" i="11"/>
  <c r="F72" i="11"/>
  <c r="E72" i="11"/>
  <c r="D72" i="11"/>
  <c r="C72" i="11"/>
  <c r="I73" i="11"/>
  <c r="H73" i="11"/>
  <c r="G73" i="11"/>
  <c r="F73" i="11"/>
  <c r="E73" i="11"/>
  <c r="D73" i="11"/>
  <c r="C73" i="11"/>
  <c r="I74" i="11"/>
  <c r="H74" i="11"/>
  <c r="G74" i="11"/>
  <c r="F74" i="11"/>
  <c r="E74" i="11"/>
  <c r="D74" i="11"/>
  <c r="C74" i="11"/>
  <c r="I75" i="11"/>
  <c r="H75" i="11"/>
  <c r="G75" i="11"/>
  <c r="F75" i="11"/>
  <c r="E75" i="11"/>
  <c r="D75" i="11"/>
  <c r="C75" i="11"/>
  <c r="I76" i="11"/>
  <c r="H76" i="11"/>
  <c r="G76" i="11"/>
  <c r="F76" i="11"/>
  <c r="E76" i="11"/>
  <c r="D76" i="11"/>
  <c r="C76" i="11"/>
  <c r="I77" i="11"/>
  <c r="H77" i="11"/>
  <c r="G77" i="11"/>
  <c r="F77" i="11"/>
  <c r="E77" i="11"/>
  <c r="D77" i="11"/>
  <c r="C77" i="11"/>
  <c r="I78" i="11"/>
  <c r="H78" i="11"/>
  <c r="G78" i="11"/>
  <c r="F78" i="11"/>
  <c r="E78" i="11"/>
  <c r="D78" i="11"/>
  <c r="C78" i="11"/>
  <c r="I79" i="11"/>
  <c r="H79" i="11"/>
  <c r="G79" i="11"/>
  <c r="F79" i="11"/>
  <c r="E79" i="11"/>
  <c r="D79" i="11"/>
  <c r="C79" i="11"/>
  <c r="I80" i="11"/>
  <c r="H80" i="11"/>
  <c r="G80" i="11"/>
  <c r="F80" i="11"/>
  <c r="E80" i="11"/>
  <c r="D80" i="11"/>
  <c r="C80" i="11"/>
  <c r="I81" i="11"/>
  <c r="H81" i="11"/>
  <c r="G81" i="11"/>
  <c r="F81" i="11"/>
  <c r="E81" i="11"/>
  <c r="D81" i="11"/>
  <c r="C81" i="11"/>
  <c r="I82" i="11"/>
  <c r="H82" i="11"/>
  <c r="G82" i="11"/>
  <c r="F82" i="11"/>
  <c r="E82" i="11"/>
  <c r="D82" i="11"/>
  <c r="C82" i="11"/>
  <c r="I83" i="11"/>
  <c r="H83" i="11"/>
  <c r="G83" i="11"/>
  <c r="F83" i="11"/>
  <c r="E83" i="11"/>
  <c r="D83" i="11"/>
  <c r="C83" i="11"/>
  <c r="I84" i="11"/>
  <c r="H84" i="11"/>
  <c r="G84" i="11"/>
  <c r="F84" i="11"/>
  <c r="E84" i="11"/>
  <c r="D84" i="11"/>
  <c r="C84" i="11"/>
  <c r="I85" i="11"/>
  <c r="H85" i="11"/>
  <c r="G85" i="11"/>
  <c r="F85" i="11"/>
  <c r="E85" i="11"/>
  <c r="D85" i="11"/>
  <c r="C85" i="11"/>
  <c r="I86" i="11"/>
  <c r="H86" i="11"/>
  <c r="G86" i="11"/>
  <c r="F86" i="11"/>
  <c r="E86" i="11"/>
  <c r="D86" i="11"/>
  <c r="C86" i="11"/>
  <c r="I87" i="11"/>
  <c r="H87" i="11"/>
  <c r="G87" i="11"/>
  <c r="F87" i="11"/>
  <c r="E87" i="11"/>
  <c r="D87" i="11"/>
  <c r="C87" i="11"/>
  <c r="I88" i="11"/>
  <c r="H88" i="11"/>
  <c r="G88" i="11"/>
  <c r="F88" i="11"/>
  <c r="E88" i="11"/>
  <c r="D88" i="11"/>
  <c r="C88" i="11"/>
  <c r="I89" i="11"/>
  <c r="H89" i="11"/>
  <c r="G89" i="11"/>
  <c r="F89" i="11"/>
  <c r="E89" i="11"/>
  <c r="D89" i="11"/>
  <c r="C89" i="11"/>
  <c r="I90" i="11"/>
  <c r="H90" i="11"/>
  <c r="G90" i="11"/>
  <c r="F90" i="11"/>
  <c r="E90" i="11"/>
  <c r="D90" i="11"/>
  <c r="C90" i="11"/>
  <c r="I91" i="11"/>
  <c r="H91" i="11"/>
  <c r="G91" i="11"/>
  <c r="F91" i="11"/>
  <c r="E91" i="11"/>
  <c r="D91" i="11"/>
  <c r="C91" i="11"/>
  <c r="I92" i="11"/>
  <c r="H92" i="11"/>
  <c r="G92" i="11"/>
  <c r="F92" i="11"/>
  <c r="E92" i="11"/>
  <c r="D92" i="11"/>
  <c r="C92" i="11"/>
  <c r="I93" i="11"/>
  <c r="H93" i="11"/>
  <c r="G93" i="11"/>
  <c r="F93" i="11"/>
  <c r="E93" i="11"/>
  <c r="D93" i="11"/>
  <c r="C93" i="11"/>
  <c r="I94" i="11"/>
  <c r="H94" i="11"/>
  <c r="G94" i="11"/>
  <c r="F94" i="11"/>
  <c r="E94" i="11"/>
  <c r="D94" i="11"/>
  <c r="C94" i="11"/>
  <c r="I95" i="11"/>
  <c r="H95" i="11"/>
  <c r="G95" i="11"/>
  <c r="F95" i="11"/>
  <c r="E95" i="11"/>
  <c r="D95" i="11"/>
  <c r="C95" i="11"/>
  <c r="I96" i="11"/>
  <c r="H96" i="11"/>
  <c r="G96" i="11"/>
  <c r="F96" i="11"/>
  <c r="E96" i="11"/>
  <c r="D96" i="11"/>
  <c r="C96" i="11"/>
  <c r="I97" i="11"/>
  <c r="H97" i="11"/>
  <c r="G97" i="11"/>
  <c r="F97" i="11"/>
  <c r="E97" i="11"/>
  <c r="D97" i="11"/>
  <c r="C97" i="11"/>
  <c r="I98" i="11"/>
  <c r="H98" i="11"/>
  <c r="G98" i="11"/>
  <c r="F98" i="11"/>
  <c r="E98" i="11"/>
  <c r="D98" i="11"/>
  <c r="C98" i="11"/>
  <c r="I99" i="11"/>
  <c r="H99" i="11"/>
  <c r="G99" i="11"/>
  <c r="F99" i="11"/>
  <c r="E99" i="11"/>
  <c r="D99" i="11"/>
  <c r="C99" i="11"/>
  <c r="I100" i="11"/>
  <c r="H100" i="11"/>
  <c r="G100" i="11"/>
  <c r="F100" i="11"/>
  <c r="E100" i="11"/>
  <c r="D100" i="11"/>
  <c r="C100" i="11"/>
  <c r="I101" i="11"/>
  <c r="H101" i="11"/>
  <c r="G101" i="11"/>
  <c r="F101" i="11"/>
  <c r="E101" i="11"/>
  <c r="D101" i="11"/>
  <c r="C101" i="11"/>
  <c r="I102" i="11"/>
  <c r="H102" i="11"/>
  <c r="G102" i="11"/>
  <c r="F102" i="11"/>
  <c r="E102" i="11"/>
  <c r="D102" i="11"/>
  <c r="C102" i="11"/>
  <c r="I103" i="11"/>
  <c r="H103" i="11"/>
  <c r="G103" i="11"/>
  <c r="F103" i="11"/>
  <c r="E103" i="11"/>
  <c r="D103" i="11"/>
  <c r="C103" i="11"/>
  <c r="I104" i="11"/>
  <c r="H104" i="11"/>
  <c r="G104" i="11"/>
  <c r="F104" i="11"/>
  <c r="E104" i="11"/>
  <c r="D104" i="11"/>
  <c r="C104" i="11"/>
  <c r="I105" i="11"/>
  <c r="H105" i="11"/>
  <c r="G105" i="11"/>
  <c r="F105" i="11"/>
  <c r="E105" i="11"/>
  <c r="D105" i="11"/>
  <c r="C105" i="11"/>
  <c r="I106" i="11"/>
  <c r="H106" i="11"/>
  <c r="G106" i="11"/>
  <c r="F106" i="11"/>
  <c r="E106" i="11"/>
  <c r="D106" i="11"/>
  <c r="C106" i="11"/>
  <c r="I107" i="11"/>
  <c r="H107" i="11"/>
  <c r="G107" i="11"/>
  <c r="F107" i="11"/>
  <c r="E107" i="11"/>
  <c r="D107" i="11"/>
  <c r="C107" i="11"/>
  <c r="I108" i="11"/>
  <c r="H108" i="11"/>
  <c r="G108" i="11"/>
  <c r="F108" i="11"/>
  <c r="E108" i="11"/>
  <c r="D108" i="11"/>
  <c r="C108" i="11"/>
  <c r="I109" i="11"/>
  <c r="H109" i="11"/>
  <c r="G109" i="11"/>
  <c r="F109" i="11"/>
  <c r="E109" i="11"/>
  <c r="D109" i="11"/>
  <c r="C109" i="11"/>
  <c r="I110" i="11"/>
  <c r="H110" i="11"/>
  <c r="G110" i="11"/>
  <c r="F110" i="11"/>
  <c r="E110" i="11"/>
  <c r="D110" i="11"/>
  <c r="C110" i="11"/>
  <c r="I111" i="11"/>
  <c r="H111" i="11"/>
  <c r="G111" i="11"/>
  <c r="F111" i="11"/>
  <c r="E111" i="11"/>
  <c r="D111" i="11"/>
  <c r="C111" i="11"/>
  <c r="I112" i="11"/>
  <c r="H112" i="11"/>
  <c r="G112" i="11"/>
  <c r="F112" i="11"/>
  <c r="E112" i="11"/>
  <c r="D112" i="11"/>
  <c r="C112" i="11"/>
  <c r="I113" i="11"/>
  <c r="H113" i="11"/>
  <c r="G113" i="11"/>
  <c r="F113" i="11"/>
  <c r="E113" i="11"/>
  <c r="D113" i="11"/>
  <c r="C113" i="11"/>
  <c r="I114" i="11"/>
  <c r="H114" i="11"/>
  <c r="G114" i="11"/>
  <c r="F114" i="11"/>
  <c r="E114" i="11"/>
  <c r="D114" i="11"/>
  <c r="C114" i="11"/>
  <c r="I115" i="11"/>
  <c r="H115" i="11"/>
  <c r="G115" i="11"/>
  <c r="F115" i="11"/>
  <c r="E115" i="11"/>
  <c r="D115" i="11"/>
  <c r="C115" i="11"/>
  <c r="I116" i="11"/>
  <c r="H116" i="11"/>
  <c r="G116" i="11"/>
  <c r="F116" i="11"/>
  <c r="E116" i="11"/>
  <c r="D116" i="11"/>
  <c r="C116" i="11"/>
  <c r="I117" i="11"/>
  <c r="H117" i="11"/>
  <c r="G117" i="11"/>
  <c r="F117" i="11"/>
  <c r="E117" i="11"/>
  <c r="D117" i="11"/>
  <c r="C117" i="11"/>
  <c r="I118" i="11"/>
  <c r="H118" i="11"/>
  <c r="G118" i="11"/>
  <c r="F118" i="11"/>
  <c r="E118" i="11"/>
  <c r="D118" i="11"/>
  <c r="C118" i="11"/>
  <c r="I119" i="11"/>
  <c r="H119" i="11"/>
  <c r="G119" i="11"/>
  <c r="F119" i="11"/>
  <c r="E119" i="11"/>
  <c r="D119" i="11"/>
  <c r="C119" i="11"/>
  <c r="I120" i="11"/>
  <c r="H120" i="11"/>
  <c r="G120" i="11"/>
  <c r="F120" i="11"/>
  <c r="E120" i="11"/>
  <c r="D120" i="11"/>
  <c r="C120" i="11"/>
  <c r="I121" i="11"/>
  <c r="H121" i="11"/>
  <c r="G121" i="11"/>
  <c r="F121" i="11"/>
  <c r="E121" i="11"/>
  <c r="D121" i="11"/>
  <c r="C121" i="11"/>
  <c r="I122" i="11"/>
  <c r="H122" i="11"/>
  <c r="G122" i="11"/>
  <c r="F122" i="11"/>
  <c r="E122" i="11"/>
  <c r="D122" i="11"/>
  <c r="C122" i="11"/>
  <c r="I123" i="11"/>
  <c r="H123" i="11"/>
  <c r="G123" i="11"/>
  <c r="F123" i="11"/>
  <c r="E123" i="11"/>
  <c r="D123" i="11"/>
  <c r="C123" i="11"/>
  <c r="I124" i="11"/>
  <c r="H124" i="11"/>
  <c r="G124" i="11"/>
  <c r="F124" i="11"/>
  <c r="E124" i="11"/>
  <c r="D124" i="11"/>
  <c r="C124" i="11"/>
  <c r="I125" i="11"/>
  <c r="H125" i="11"/>
  <c r="G125" i="11"/>
  <c r="F125" i="11"/>
  <c r="E125" i="11"/>
  <c r="D125" i="11"/>
  <c r="C125" i="11"/>
  <c r="I126" i="11"/>
  <c r="H126" i="11"/>
  <c r="G126" i="11"/>
  <c r="F126" i="11"/>
  <c r="E126" i="11"/>
  <c r="D126" i="11"/>
  <c r="C126" i="11"/>
  <c r="I127" i="11"/>
  <c r="H127" i="11"/>
  <c r="G127" i="11"/>
  <c r="F127" i="11"/>
  <c r="E127" i="11"/>
  <c r="D127" i="11"/>
  <c r="C127" i="11"/>
  <c r="I128" i="11"/>
  <c r="H128" i="11"/>
  <c r="G128" i="11"/>
  <c r="F128" i="11"/>
  <c r="E128" i="11"/>
  <c r="D128" i="11"/>
  <c r="C128" i="11"/>
  <c r="I129" i="11"/>
  <c r="H129" i="11"/>
  <c r="G129" i="11"/>
  <c r="F129" i="11"/>
  <c r="E129" i="11"/>
  <c r="D129" i="11"/>
  <c r="C129" i="11"/>
  <c r="I130" i="11"/>
  <c r="H130" i="11"/>
  <c r="G130" i="11"/>
  <c r="F130" i="11"/>
  <c r="E130" i="11"/>
  <c r="D130" i="11"/>
  <c r="C130" i="11"/>
  <c r="I131" i="11"/>
  <c r="H131" i="11"/>
  <c r="G131" i="11"/>
  <c r="F131" i="11"/>
  <c r="E131" i="11"/>
  <c r="D131" i="11"/>
  <c r="C131" i="11"/>
  <c r="I132" i="11"/>
  <c r="H132" i="11"/>
  <c r="G132" i="11"/>
  <c r="F132" i="11"/>
  <c r="E132" i="11"/>
  <c r="D132" i="11"/>
  <c r="C132" i="11"/>
  <c r="I133" i="11"/>
  <c r="H133" i="11"/>
  <c r="G133" i="11"/>
  <c r="F133" i="11"/>
  <c r="E133" i="11"/>
  <c r="D133" i="11"/>
  <c r="C133" i="11"/>
  <c r="I134" i="11"/>
  <c r="H134" i="11"/>
  <c r="G134" i="11"/>
  <c r="F134" i="11"/>
  <c r="E134" i="11"/>
  <c r="D134" i="11"/>
  <c r="C134" i="11"/>
  <c r="I135" i="11"/>
  <c r="H135" i="11"/>
  <c r="G135" i="11"/>
  <c r="F135" i="11"/>
  <c r="E135" i="11"/>
  <c r="D135" i="11"/>
  <c r="C135" i="11"/>
  <c r="I136" i="11"/>
  <c r="H136" i="11"/>
  <c r="G136" i="11"/>
  <c r="F136" i="11"/>
  <c r="E136" i="11"/>
  <c r="D136" i="11"/>
  <c r="C136" i="11"/>
  <c r="I137" i="11"/>
  <c r="H137" i="11"/>
  <c r="G137" i="11"/>
  <c r="F137" i="11"/>
  <c r="E137" i="11"/>
  <c r="D137" i="11"/>
  <c r="C137" i="11"/>
  <c r="I138" i="11"/>
  <c r="H138" i="11"/>
  <c r="G138" i="11"/>
  <c r="F138" i="11"/>
  <c r="E138" i="11"/>
  <c r="D138" i="11"/>
  <c r="C138" i="11"/>
  <c r="I139" i="11"/>
  <c r="H139" i="11"/>
  <c r="G139" i="11"/>
  <c r="F139" i="11"/>
  <c r="E139" i="11"/>
  <c r="D139" i="11"/>
  <c r="C139" i="11"/>
  <c r="I140" i="11"/>
  <c r="H140" i="11"/>
  <c r="G140" i="11"/>
  <c r="F140" i="11"/>
  <c r="E140" i="11"/>
  <c r="D140" i="11"/>
  <c r="C140" i="11"/>
  <c r="I141" i="11"/>
  <c r="H141" i="11"/>
  <c r="G141" i="11"/>
  <c r="F141" i="11"/>
  <c r="E141" i="11"/>
  <c r="D141" i="11"/>
  <c r="C141" i="11"/>
  <c r="I142" i="11"/>
  <c r="H142" i="11"/>
  <c r="G142" i="11"/>
  <c r="F142" i="11"/>
  <c r="E142" i="11"/>
  <c r="D142" i="11"/>
  <c r="C142" i="11"/>
  <c r="I143" i="11"/>
  <c r="H143" i="11"/>
  <c r="G143" i="11"/>
  <c r="F143" i="11"/>
  <c r="E143" i="11"/>
  <c r="D143" i="11"/>
  <c r="C143" i="11"/>
  <c r="I144" i="11"/>
  <c r="H144" i="11"/>
  <c r="G144" i="11"/>
  <c r="F144" i="11"/>
  <c r="E144" i="11"/>
  <c r="D144" i="11"/>
  <c r="C144" i="11"/>
  <c r="I145" i="11"/>
  <c r="H145" i="11"/>
  <c r="G145" i="11"/>
  <c r="F145" i="11"/>
  <c r="E145" i="11"/>
  <c r="D145" i="11"/>
  <c r="C145" i="11"/>
  <c r="I146" i="11"/>
  <c r="H146" i="11"/>
  <c r="G146" i="11"/>
  <c r="F146" i="11"/>
  <c r="E146" i="11"/>
  <c r="D146" i="11"/>
  <c r="C146" i="11"/>
  <c r="I147" i="11"/>
  <c r="H147" i="11"/>
  <c r="G147" i="11"/>
  <c r="F147" i="11"/>
  <c r="E147" i="11"/>
  <c r="D147" i="11"/>
  <c r="C147" i="11"/>
  <c r="I148" i="11"/>
  <c r="H148" i="11"/>
  <c r="G148" i="11"/>
  <c r="F148" i="11"/>
  <c r="E148" i="11"/>
  <c r="D148" i="11"/>
  <c r="C148" i="11"/>
  <c r="I149" i="11"/>
  <c r="H149" i="11"/>
  <c r="G149" i="11"/>
  <c r="F149" i="11"/>
  <c r="E149" i="11"/>
  <c r="D149" i="11"/>
  <c r="C149" i="11"/>
  <c r="I150" i="11"/>
  <c r="H150" i="11"/>
  <c r="G150" i="11"/>
  <c r="F150" i="11"/>
  <c r="E150" i="11"/>
  <c r="D150" i="11"/>
  <c r="C150" i="11"/>
  <c r="I151" i="11"/>
  <c r="H151" i="11"/>
  <c r="G151" i="11"/>
  <c r="F151" i="11"/>
  <c r="E151" i="11"/>
  <c r="D151" i="11"/>
  <c r="C151" i="11"/>
  <c r="I152" i="11"/>
  <c r="H152" i="11"/>
  <c r="G152" i="11"/>
  <c r="F152" i="11"/>
  <c r="E152" i="11"/>
  <c r="D152" i="11"/>
  <c r="C152" i="11"/>
  <c r="I153" i="11"/>
  <c r="H153" i="11"/>
  <c r="G153" i="11"/>
  <c r="F153" i="11"/>
  <c r="E153" i="11"/>
  <c r="D153" i="11"/>
  <c r="C153" i="11"/>
  <c r="I154" i="11"/>
  <c r="H154" i="11"/>
  <c r="G154" i="11"/>
  <c r="F154" i="11"/>
  <c r="E154" i="11"/>
  <c r="D154" i="11"/>
  <c r="C154" i="11"/>
  <c r="I155" i="11"/>
  <c r="H155" i="11"/>
  <c r="G155" i="11"/>
  <c r="F155" i="11"/>
  <c r="E155" i="11"/>
  <c r="D155" i="11"/>
  <c r="C155" i="11"/>
  <c r="I156" i="11"/>
  <c r="H156" i="11"/>
  <c r="G156" i="11"/>
  <c r="F156" i="11"/>
  <c r="E156" i="11"/>
  <c r="D156" i="11"/>
  <c r="C156" i="11"/>
  <c r="I157" i="11"/>
  <c r="H157" i="11"/>
  <c r="G157" i="11"/>
  <c r="F157" i="11"/>
  <c r="E157" i="11"/>
  <c r="D157" i="11"/>
  <c r="C157" i="11"/>
  <c r="I158" i="11"/>
  <c r="H158" i="11"/>
  <c r="G158" i="11"/>
  <c r="F158" i="11"/>
  <c r="E158" i="11"/>
  <c r="D158" i="11"/>
  <c r="C158" i="11"/>
  <c r="I159" i="11"/>
  <c r="H159" i="11"/>
  <c r="G159" i="11"/>
  <c r="F159" i="11"/>
  <c r="E159" i="11"/>
  <c r="D159" i="11"/>
  <c r="C159" i="11"/>
  <c r="I160" i="11"/>
  <c r="H160" i="11"/>
  <c r="G160" i="11"/>
  <c r="F160" i="11"/>
  <c r="E160" i="11"/>
  <c r="D160" i="11"/>
  <c r="C160" i="11"/>
  <c r="I161" i="11"/>
  <c r="H161" i="11"/>
  <c r="G161" i="11"/>
  <c r="F161" i="11"/>
  <c r="E161" i="11"/>
  <c r="D161" i="11"/>
  <c r="C161" i="11"/>
  <c r="I162" i="11"/>
  <c r="H162" i="11"/>
  <c r="G162" i="11"/>
  <c r="F162" i="11"/>
  <c r="E162" i="11"/>
  <c r="D162" i="11"/>
  <c r="C162" i="11"/>
  <c r="I163" i="11"/>
  <c r="H163" i="11"/>
  <c r="G163" i="11"/>
  <c r="F163" i="11"/>
  <c r="E163" i="11"/>
  <c r="D163" i="11"/>
  <c r="C163" i="11"/>
  <c r="I164" i="11"/>
  <c r="H164" i="11"/>
  <c r="G164" i="11"/>
  <c r="F164" i="11"/>
  <c r="E164" i="11"/>
  <c r="D164" i="11"/>
  <c r="C164" i="11"/>
  <c r="I165" i="11"/>
  <c r="H165" i="11"/>
  <c r="G165" i="11"/>
  <c r="F165" i="11"/>
  <c r="E165" i="11"/>
  <c r="D165" i="11"/>
  <c r="C165" i="11"/>
  <c r="I166" i="11"/>
  <c r="H166" i="11"/>
  <c r="G166" i="11"/>
  <c r="F166" i="11"/>
  <c r="E166" i="11"/>
  <c r="D166" i="11"/>
  <c r="C166" i="11"/>
  <c r="I167" i="11"/>
  <c r="H167" i="11"/>
  <c r="G167" i="11"/>
  <c r="F167" i="11"/>
  <c r="E167" i="11"/>
  <c r="D167" i="11"/>
  <c r="C167" i="11"/>
  <c r="I168" i="11"/>
  <c r="H168" i="11"/>
  <c r="G168" i="11"/>
  <c r="F168" i="11"/>
  <c r="E168" i="11"/>
  <c r="D168" i="11"/>
  <c r="C168" i="11"/>
  <c r="I169" i="11"/>
  <c r="H169" i="11"/>
  <c r="G169" i="11"/>
  <c r="F169" i="11"/>
  <c r="E169" i="11"/>
  <c r="D169" i="11"/>
  <c r="C169" i="11"/>
  <c r="I170" i="11"/>
  <c r="H170" i="11"/>
  <c r="G170" i="11"/>
  <c r="F170" i="11"/>
  <c r="E170" i="11"/>
  <c r="D170" i="11"/>
  <c r="C170" i="11"/>
  <c r="I171" i="11"/>
  <c r="H171" i="11"/>
  <c r="G171" i="11"/>
  <c r="F171" i="11"/>
  <c r="E171" i="11"/>
  <c r="D171" i="11"/>
  <c r="C171" i="11"/>
  <c r="I172" i="11"/>
  <c r="H172" i="11"/>
  <c r="G172" i="11"/>
  <c r="F172" i="11"/>
  <c r="E172" i="11"/>
  <c r="D172" i="11"/>
  <c r="C172" i="11"/>
  <c r="I173" i="11"/>
  <c r="H173" i="11"/>
  <c r="G173" i="11"/>
  <c r="F173" i="11"/>
  <c r="E173" i="11"/>
  <c r="D173" i="11"/>
  <c r="C173" i="11"/>
  <c r="I174" i="11"/>
  <c r="H174" i="11"/>
  <c r="G174" i="11"/>
  <c r="F174" i="11"/>
  <c r="E174" i="11"/>
  <c r="D174" i="11"/>
  <c r="C174" i="11"/>
  <c r="I175" i="11"/>
  <c r="H175" i="11"/>
  <c r="G175" i="11"/>
  <c r="F175" i="11"/>
  <c r="E175" i="11"/>
  <c r="D175" i="11"/>
  <c r="C175" i="11"/>
  <c r="I176" i="11"/>
  <c r="H176" i="11"/>
  <c r="G176" i="11"/>
  <c r="F176" i="11"/>
  <c r="E176" i="11"/>
  <c r="D176" i="11"/>
  <c r="C176" i="11"/>
  <c r="I177" i="11"/>
  <c r="H177" i="11"/>
  <c r="G177" i="11"/>
  <c r="F177" i="11"/>
  <c r="E177" i="11"/>
  <c r="D177" i="11"/>
  <c r="C177" i="11"/>
  <c r="I178" i="11"/>
  <c r="H178" i="11"/>
  <c r="G178" i="11"/>
  <c r="F178" i="11"/>
  <c r="E178" i="11"/>
  <c r="D178" i="11"/>
  <c r="C178" i="11"/>
  <c r="I179" i="11"/>
  <c r="H179" i="11"/>
  <c r="G179" i="11"/>
  <c r="F179" i="11"/>
  <c r="E179" i="11"/>
  <c r="D179" i="11"/>
  <c r="C179" i="11"/>
  <c r="I180" i="11"/>
  <c r="H180" i="11"/>
  <c r="G180" i="11"/>
  <c r="F180" i="11"/>
  <c r="E180" i="11"/>
  <c r="D180" i="11"/>
  <c r="C180" i="11"/>
  <c r="I181" i="11"/>
  <c r="H181" i="11"/>
  <c r="G181" i="11"/>
  <c r="F181" i="11"/>
  <c r="E181" i="11"/>
  <c r="D181" i="11"/>
  <c r="C181" i="11"/>
  <c r="I182" i="11"/>
  <c r="H182" i="11"/>
  <c r="G182" i="11"/>
  <c r="F182" i="11"/>
  <c r="E182" i="11"/>
  <c r="D182" i="11"/>
  <c r="C182" i="11"/>
  <c r="I183" i="11"/>
  <c r="H183" i="11"/>
  <c r="G183" i="11"/>
  <c r="F183" i="11"/>
  <c r="E183" i="11"/>
  <c r="D183" i="11"/>
  <c r="C183" i="11"/>
  <c r="I184" i="11"/>
  <c r="H184" i="11"/>
  <c r="G184" i="11"/>
  <c r="F184" i="11"/>
  <c r="E184" i="11"/>
  <c r="D184" i="11"/>
  <c r="C184" i="11"/>
  <c r="I185" i="11"/>
  <c r="H185" i="11"/>
  <c r="G185" i="11"/>
  <c r="F185" i="11"/>
  <c r="E185" i="11"/>
  <c r="D185" i="11"/>
  <c r="C185" i="11"/>
  <c r="I186" i="11"/>
  <c r="H186" i="11"/>
  <c r="G186" i="11"/>
  <c r="F186" i="11"/>
  <c r="E186" i="11"/>
  <c r="D186" i="11"/>
  <c r="C186" i="11"/>
  <c r="I187" i="11"/>
  <c r="H187" i="11"/>
  <c r="G187" i="11"/>
  <c r="F187" i="11"/>
  <c r="E187" i="11"/>
  <c r="D187" i="11"/>
  <c r="C187" i="11"/>
  <c r="I188" i="11"/>
  <c r="H188" i="11"/>
  <c r="G188" i="11"/>
  <c r="F188" i="11"/>
  <c r="E188" i="11"/>
  <c r="D188" i="11"/>
  <c r="C188" i="11"/>
  <c r="I189" i="11"/>
  <c r="H189" i="11"/>
  <c r="G189" i="11"/>
  <c r="F189" i="11"/>
  <c r="E189" i="11"/>
  <c r="D189" i="11"/>
  <c r="C189" i="11"/>
  <c r="I190" i="11"/>
  <c r="H190" i="11"/>
  <c r="G190" i="11"/>
  <c r="F190" i="11"/>
  <c r="E190" i="11"/>
  <c r="D190" i="11"/>
  <c r="C190" i="11"/>
  <c r="I191" i="11"/>
  <c r="H191" i="11"/>
  <c r="G191" i="11"/>
  <c r="F191" i="11"/>
  <c r="E191" i="11"/>
  <c r="D191" i="11"/>
  <c r="C191" i="11"/>
  <c r="I192" i="11"/>
  <c r="H192" i="11"/>
  <c r="G192" i="11"/>
  <c r="F192" i="11"/>
  <c r="E192" i="11"/>
  <c r="D192" i="11"/>
  <c r="C192" i="11"/>
  <c r="I193" i="11"/>
  <c r="H193" i="11"/>
  <c r="G193" i="11"/>
  <c r="F193" i="11"/>
  <c r="E193" i="11"/>
  <c r="D193" i="11"/>
  <c r="C193" i="11"/>
  <c r="I194" i="11"/>
  <c r="H194" i="11"/>
  <c r="G194" i="11"/>
  <c r="F194" i="11"/>
  <c r="E194" i="11"/>
  <c r="D194" i="11"/>
  <c r="C194" i="11"/>
  <c r="I195" i="11"/>
  <c r="H195" i="11"/>
  <c r="G195" i="11"/>
  <c r="F195" i="11"/>
  <c r="E195" i="11"/>
  <c r="D195" i="11"/>
  <c r="C195" i="11"/>
  <c r="I196" i="11"/>
  <c r="H196" i="11"/>
  <c r="G196" i="11"/>
  <c r="F196" i="11"/>
  <c r="E196" i="11"/>
  <c r="D196" i="11"/>
  <c r="C196" i="11"/>
  <c r="I197" i="11"/>
  <c r="H197" i="11"/>
  <c r="G197" i="11"/>
  <c r="F197" i="11"/>
  <c r="E197" i="11"/>
  <c r="D197" i="11"/>
  <c r="C197" i="11"/>
  <c r="I198" i="11"/>
  <c r="H198" i="11"/>
  <c r="G198" i="11"/>
  <c r="F198" i="11"/>
  <c r="E198" i="11"/>
  <c r="D198" i="11"/>
  <c r="C198" i="11"/>
  <c r="I199" i="11"/>
  <c r="H199" i="11"/>
  <c r="G199" i="11"/>
  <c r="F199" i="11"/>
  <c r="E199" i="11"/>
  <c r="D199" i="11"/>
  <c r="C199" i="11"/>
  <c r="I200" i="11"/>
  <c r="H200" i="11"/>
  <c r="G200" i="11"/>
  <c r="F200" i="11"/>
  <c r="E200" i="11"/>
  <c r="D200" i="11"/>
  <c r="C200" i="11"/>
  <c r="I201" i="11"/>
  <c r="H201" i="11"/>
  <c r="G201" i="11"/>
  <c r="F201" i="11"/>
  <c r="E201" i="11"/>
  <c r="D201" i="11"/>
  <c r="C201" i="11"/>
  <c r="I202" i="11"/>
  <c r="H202" i="11"/>
  <c r="G202" i="11"/>
  <c r="F202" i="11"/>
  <c r="E202" i="11"/>
  <c r="D202" i="11"/>
  <c r="C202" i="11"/>
  <c r="I203" i="11"/>
  <c r="H203" i="11"/>
  <c r="G203" i="11"/>
  <c r="F203" i="11"/>
  <c r="E203" i="11"/>
  <c r="D203" i="11"/>
  <c r="C203" i="11"/>
</calcChain>
</file>

<file path=xl/sharedStrings.xml><?xml version="1.0" encoding="utf-8"?>
<sst xmlns="http://schemas.openxmlformats.org/spreadsheetml/2006/main" count="381" uniqueCount="223">
  <si>
    <t>TR-DMS MASTER 2026 — TECTONA RESIDEN</t>
  </si>
  <si>
    <t>Ringkasan Proyek</t>
  </si>
  <si>
    <t>Baseline</t>
  </si>
  <si>
    <t>Total Kavling</t>
  </si>
  <si>
    <t>Luas Lahan</t>
  </si>
  <si>
    <t>17,34 are</t>
  </si>
  <si>
    <t>Tersedia</t>
  </si>
  <si>
    <t>Jalan Dalam</t>
  </si>
  <si>
    <t>5,3 m</t>
  </si>
  <si>
    <t>Reservasi</t>
  </si>
  <si>
    <t>Prima</t>
  </si>
  <si>
    <t>A1–A7, 7×14 m</t>
  </si>
  <si>
    <t>Booking</t>
  </si>
  <si>
    <t>Standard</t>
  </si>
  <si>
    <t>B1–B6, 7×10 m</t>
  </si>
  <si>
    <t>Terjual</t>
  </si>
  <si>
    <t>B7</t>
  </si>
  <si>
    <t>Hook – luas menunggu angka final</t>
  </si>
  <si>
    <t>Harga Aktif / m²</t>
  </si>
  <si>
    <t>Legal</t>
  </si>
  <si>
    <t>Girik – proses AJB/TORA</t>
  </si>
  <si>
    <t>Total Penjualan</t>
  </si>
  <si>
    <t>Pembayaran Masuk</t>
  </si>
  <si>
    <t>Piutang Konsumen</t>
  </si>
  <si>
    <t>Skema Kas Awal</t>
  </si>
  <si>
    <t>50% Tanah | 25% Legal+Infra | 10% Marketing | 10% Cadangan | 5% Operasional</t>
  </si>
  <si>
    <t>Saldo Kas Proyek</t>
  </si>
  <si>
    <t>Aturan Laba</t>
  </si>
  <si>
    <t>80:20 hanya setelah kewajiban utama proyek tercukupi</t>
  </si>
  <si>
    <t>Realisasi RAB</t>
  </si>
  <si>
    <t>PENGATURAN UTAMA TECTONA RESIDEN</t>
  </si>
  <si>
    <t>Parameter</t>
  </si>
  <si>
    <t>Nilai</t>
  </si>
  <si>
    <t>Keterangan</t>
  </si>
  <si>
    <t>Nama Proyek</t>
  </si>
  <si>
    <t>Tectona Residen</t>
  </si>
  <si>
    <t>Sumber utama TR-DMS</t>
  </si>
  <si>
    <t>Luas Lahan (are)</t>
  </si>
  <si>
    <t>Baseline proyek</t>
  </si>
  <si>
    <t>Jumlah Kavling</t>
  </si>
  <si>
    <t>7 Prima + 7 Standard</t>
  </si>
  <si>
    <t>Lebar Jalan Dalam (m)</t>
  </si>
  <si>
    <t>Hasil pengukuran akhir</t>
  </si>
  <si>
    <t>Harga Awal / m²</t>
  </si>
  <si>
    <t>Tahap 1</t>
  </si>
  <si>
    <t>Kenaikan / 3 unit</t>
  </si>
  <si>
    <t>Harga naik setiap 3 unit terjual</t>
  </si>
  <si>
    <t>Biaya Reservasi</t>
  </si>
  <si>
    <t>Data baseline</t>
  </si>
  <si>
    <t>Booking Fee</t>
  </si>
  <si>
    <t>Potongan bila batal</t>
  </si>
  <si>
    <t>Sisa Rp1 jt dialokasikan sesuai kebijakan</t>
  </si>
  <si>
    <t>DP</t>
  </si>
  <si>
    <t>Bebas</t>
  </si>
  <si>
    <t>Sesuai kesepakatan</t>
  </si>
  <si>
    <t>Tenor Maksimum (bulan)</t>
  </si>
  <si>
    <t>Angsuran</t>
  </si>
  <si>
    <t>Status Legal</t>
  </si>
  <si>
    <t>Girik - proses AJB/TORA</t>
  </si>
  <si>
    <t>Belum sertifikat</t>
  </si>
  <si>
    <t>Format Konsumen</t>
  </si>
  <si>
    <t>CUS-2026-0001</t>
  </si>
  <si>
    <t>Penomoran</t>
  </si>
  <si>
    <t>Format Kavling</t>
  </si>
  <si>
    <t>TR-A01</t>
  </si>
  <si>
    <t>Format Transaksi</t>
  </si>
  <si>
    <t>TRX-2026-0001</t>
  </si>
  <si>
    <t>SKEMA ALOKASI KAS FASE AWAL</t>
  </si>
  <si>
    <t>Tanah / kewajiban paman</t>
  </si>
  <si>
    <t>Prioritas sampai tanah lunas</t>
  </si>
  <si>
    <t>Legalitas + Infrastruktur</t>
  </si>
  <si>
    <t>AJB/TORA, jalan 5,3 m, drainase, pematangan, gerbang</t>
  </si>
  <si>
    <t>Marketing + Komisi</t>
  </si>
  <si>
    <t>Promosi, agen, banner, sponsorship</t>
  </si>
  <si>
    <t>Kas / Cadangan Proyek</t>
  </si>
  <si>
    <t>Dana pengaman proyek</t>
  </si>
  <si>
    <t>Operasional Manajemen</t>
  </si>
  <si>
    <t>Transport, admin, cetak, komunikasi</t>
  </si>
  <si>
    <t>Pembagian laba</t>
  </si>
  <si>
    <t>80% Pengelola : 20% Paman</t>
  </si>
  <si>
    <t>Hanya setelah kewajiban utama proyek tercukupi</t>
  </si>
  <si>
    <t>MASTER KAVLING</t>
  </si>
  <si>
    <t>Kode</t>
  </si>
  <si>
    <t>Blok</t>
  </si>
  <si>
    <t>No</t>
  </si>
  <si>
    <t>Tipe</t>
  </si>
  <si>
    <t>Ukuran</t>
  </si>
  <si>
    <t>Luas m²</t>
  </si>
  <si>
    <t>Harga/m²</t>
  </si>
  <si>
    <t>Harga Jual</t>
  </si>
  <si>
    <t>Status</t>
  </si>
  <si>
    <t>ID Konsumen</t>
  </si>
  <si>
    <t>Agen</t>
  </si>
  <si>
    <t>Catatan</t>
  </si>
  <si>
    <t>A</t>
  </si>
  <si>
    <t>A1</t>
  </si>
  <si>
    <t>7 x 14</t>
  </si>
  <si>
    <t>TR-A02</t>
  </si>
  <si>
    <t>A2</t>
  </si>
  <si>
    <t>TR-A03</t>
  </si>
  <si>
    <t>A3</t>
  </si>
  <si>
    <t>TR-A04</t>
  </si>
  <si>
    <t>A4</t>
  </si>
  <si>
    <t>TR-A05</t>
  </si>
  <si>
    <t>A5</t>
  </si>
  <si>
    <t>TR-A06</t>
  </si>
  <si>
    <t>A6</t>
  </si>
  <si>
    <t>TR-A07</t>
  </si>
  <si>
    <t>A7</t>
  </si>
  <si>
    <t>TR-B01</t>
  </si>
  <si>
    <t>B</t>
  </si>
  <si>
    <t>B1</t>
  </si>
  <si>
    <t>7 x 10</t>
  </si>
  <si>
    <t>TR-B02</t>
  </si>
  <si>
    <t>B2</t>
  </si>
  <si>
    <t>TR-B03</t>
  </si>
  <si>
    <t>B3</t>
  </si>
  <si>
    <t>TR-B04</t>
  </si>
  <si>
    <t>B4</t>
  </si>
  <si>
    <t>TR-B05</t>
  </si>
  <si>
    <t>B5</t>
  </si>
  <si>
    <t>TR-B06</t>
  </si>
  <si>
    <t>B6</t>
  </si>
  <si>
    <t>TR-B07</t>
  </si>
  <si>
    <t>Standard Hook</t>
  </si>
  <si>
    <t>7 x ±8.5 x ±8.3 x ±10</t>
  </si>
  <si>
    <t>SKEMA HARGA OTOMATIS</t>
  </si>
  <si>
    <t>Tahap</t>
  </si>
  <si>
    <t>Unit Terjual Mulai</t>
  </si>
  <si>
    <t>Unit Terjual Sampai</t>
  </si>
  <si>
    <t>Harga Aktif</t>
  </si>
  <si>
    <t>Setelah 0 unit terjual</t>
  </si>
  <si>
    <t>Tahap 2</t>
  </si>
  <si>
    <t>Setelah 3 unit terjual</t>
  </si>
  <si>
    <t>Tahap 3</t>
  </si>
  <si>
    <t>Setelah 6 unit terjual</t>
  </si>
  <si>
    <t>Tahap 4</t>
  </si>
  <si>
    <t>Setelah 9 unit terjual</t>
  </si>
  <si>
    <t>Tahap 5</t>
  </si>
  <si>
    <t>Setelah 12 unit terjual</t>
  </si>
  <si>
    <t>DATABASE KONSUMEN</t>
  </si>
  <si>
    <t>Nama</t>
  </si>
  <si>
    <t>NIK</t>
  </si>
  <si>
    <t>No HP</t>
  </si>
  <si>
    <t>Alamat</t>
  </si>
  <si>
    <t>Kode Kavling</t>
  </si>
  <si>
    <t>Tanggal Masuk</t>
  </si>
  <si>
    <t>DASHBOARD MARKETING &amp; AGEN</t>
  </si>
  <si>
    <t>Kode Agen</t>
  </si>
  <si>
    <t>Nama Agen</t>
  </si>
  <si>
    <t>Lead</t>
  </si>
  <si>
    <t>Prospek</t>
  </si>
  <si>
    <t>Closing</t>
  </si>
  <si>
    <t>Nilai Penjualan</t>
  </si>
  <si>
    <t>Komisi %</t>
  </si>
  <si>
    <t>Komisi Terhitung</t>
  </si>
  <si>
    <t>Dibayar</t>
  </si>
  <si>
    <t>Sisa Komisi</t>
  </si>
  <si>
    <t>TRANSAKSI PENJUALAN</t>
  </si>
  <si>
    <t>ID Transaksi</t>
  </si>
  <si>
    <t>Tanggal</t>
  </si>
  <si>
    <t>Nama Pembeli</t>
  </si>
  <si>
    <t>Nilai Jual</t>
  </si>
  <si>
    <t>Total Bayar</t>
  </si>
  <si>
    <t>Sisa</t>
  </si>
  <si>
    <t>Tenor</t>
  </si>
  <si>
    <t>PEMBAYARAN KONSUMEN</t>
  </si>
  <si>
    <t>Jenis</t>
  </si>
  <si>
    <t>Nominal</t>
  </si>
  <si>
    <t>Metode</t>
  </si>
  <si>
    <t>No Bukti</t>
  </si>
  <si>
    <t>RAB MASTER &amp; REALISASI</t>
  </si>
  <si>
    <t>Kategori</t>
  </si>
  <si>
    <t>Uraian</t>
  </si>
  <si>
    <t>Anggaran</t>
  </si>
  <si>
    <t>Realisasi</t>
  </si>
  <si>
    <t>Selisih</t>
  </si>
  <si>
    <t>Tanah</t>
  </si>
  <si>
    <t>Pembayaran/pembebasan tanah</t>
  </si>
  <si>
    <t>Legalitas</t>
  </si>
  <si>
    <t>AJB / TORA / administrasi</t>
  </si>
  <si>
    <t>Pematangan Lahan</t>
  </si>
  <si>
    <t>Pembersihan &amp; pematangan</t>
  </si>
  <si>
    <t>Infrastruktur</t>
  </si>
  <si>
    <t>Jalan dalam 5,3 m</t>
  </si>
  <si>
    <t>Drainase</t>
  </si>
  <si>
    <t>Fasilitas</t>
  </si>
  <si>
    <t>Gerbang / signage</t>
  </si>
  <si>
    <t>Marketing</t>
  </si>
  <si>
    <t>Banner sponsor Rancabuaya &amp; Sukarame</t>
  </si>
  <si>
    <t>Operasional</t>
  </si>
  <si>
    <t>Operasional proyek</t>
  </si>
  <si>
    <t>Cadangan</t>
  </si>
  <si>
    <t>Dana cadangan</t>
  </si>
  <si>
    <t>BUKU KAS PROYEK</t>
  </si>
  <si>
    <t>Masuk</t>
  </si>
  <si>
    <t>Keluar</t>
  </si>
  <si>
    <t>Saldo</t>
  </si>
  <si>
    <t>Sumber/Transaksi</t>
  </si>
  <si>
    <t>EXP-2026-0001</t>
  </si>
  <si>
    <t>Banner Rp300rb + sponsor Rancabuaya Rp100rb + Sukarame Rp100rb</t>
  </si>
  <si>
    <t>ALOKASI KAS OTOMATIS — FASE AWAL</t>
  </si>
  <si>
    <t>Uang Masuk</t>
  </si>
  <si>
    <t>Tanah 50%</t>
  </si>
  <si>
    <t>Legal+Infra 25%</t>
  </si>
  <si>
    <t>Marketing 10%</t>
  </si>
  <si>
    <t>Cadangan 10%</t>
  </si>
  <si>
    <t>Operasional 5%</t>
  </si>
  <si>
    <t>Total Alokasi</t>
  </si>
  <si>
    <t>Status Tanah</t>
  </si>
  <si>
    <t>Status Legal/Infra</t>
  </si>
  <si>
    <t>Laba Layak Dibagi</t>
  </si>
  <si>
    <t>PPJB OTOMATIS - DATA CETAK</t>
  </si>
  <si>
    <t>Nomor PPJB</t>
  </si>
  <si>
    <t>Luas Kavling (m²)</t>
  </si>
  <si>
    <t>Total Dibayar</t>
  </si>
  <si>
    <t>Sisa Pembayaran</t>
  </si>
  <si>
    <t>CHECKLIST LEGAL &amp; DOKUMEN</t>
  </si>
  <si>
    <t>Pembeli</t>
  </si>
  <si>
    <t>Booking/SPK</t>
  </si>
  <si>
    <t>PPJB</t>
  </si>
  <si>
    <t>AJB/Legal</t>
  </si>
  <si>
    <t>Belum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</si>
</sst>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yyyy\-mm\-dd"/>
  </numFmts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b/>
      <sz val="13"/>
      <color rgb="FF1F4E3D"/>
      <name val="Calibri"/>
    </font>
    <font>
      <b/>
      <sz val="12"/>
      <name val="Calibri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3D"/>
      </patternFill>
    </fill>
    <fill>
      <patternFill patternType="solid">
        <fgColor rgb="FFEAF2EE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B7B7B7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4">
    <xf numFmtId="0" fontId="0" fillId="0" borderId="0" xfId="0"/>
    <xf numFmtId="0" fontId="4" fillId="0" borderId="0" xfId="0" applyFont="1"/>
    <xf numFmtId="0" fontId="3" fillId="3" borderId="1" xfId="0" applyFont="1" applyFill="1" applyBorder="1"/>
    <xf numFmtId="0" fontId="0" fillId="0" borderId="1" xfId="0" applyBorder="1"/>
    <xf numFmtId="3" fontId="0" fillId="0" borderId="1" xfId="0" applyNumberFormat="1" applyBorder="1"/>
    <xf numFmtId="0" fontId="2" fillId="2" borderId="1" xfId="0" applyFont="1" applyFill="1" applyBorder="1" applyAlignment="1">
      <alignment horizontal="center" vertical="center"/>
    </xf>
    <xf numFmtId="3" fontId="0" fillId="0" borderId="0" xfId="0" applyNumberFormat="1"/>
    <xf numFmtId="9" fontId="0" fillId="0" borderId="0" xfId="0" applyNumberFormat="1"/>
    <xf numFmtId="0" fontId="3" fillId="0" borderId="0" xfId="0" applyFont="1"/>
    <xf numFmtId="0" fontId="5" fillId="0" borderId="0" xfId="0" applyFont="1"/>
    <xf numFmtId="0" fontId="1" fillId="2" borderId="0" xfId="0" applyFont="1" applyFill="1" applyAlignment="1">
      <alignment horizontal="center"/>
    </xf>
    <xf numFmtId="0" fontId="0" fillId="0" borderId="0" xfId="0"/>
    <xf numFmtId="0" fontId="2" fillId="2" borderId="3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3" fontId="0" fillId="0" borderId="2" xfId="0" applyNumberFormat="1" applyBorder="1"/>
    <xf numFmtId="164" fontId="0" fillId="0" borderId="2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1" applyNumberFormat="1" applyFont="1" applyBorder="1" applyAlignment="1">
      <alignment horizontal="left" vertical="top"/>
    </xf>
    <xf numFmtId="0" fontId="4" fillId="0" borderId="4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showGridLines="0" tabSelected="1" workbookViewId="0">
      <pane ySplit="2" topLeftCell="A3" activePane="bottomLeft" state="frozen"/>
      <selection pane="bottomLeft" activeCell="B4" sqref="B4:B14"/>
    </sheetView>
  </sheetViews>
  <sheetFormatPr defaultRowHeight="15" x14ac:dyDescent="0.25"/>
  <cols>
    <col min="1" max="1" width="24" customWidth="1"/>
    <col min="2" max="2" width="20" customWidth="1"/>
    <col min="3" max="3" width="4" customWidth="1"/>
    <col min="4" max="4" width="22" customWidth="1"/>
    <col min="5" max="5" width="34" customWidth="1"/>
    <col min="6" max="8" width="14" customWidth="1"/>
  </cols>
  <sheetData>
    <row r="1" spans="1:8" ht="21" x14ac:dyDescent="0.35">
      <c r="A1" s="10" t="s">
        <v>0</v>
      </c>
      <c r="B1" s="11"/>
      <c r="C1" s="11"/>
      <c r="D1" s="11"/>
      <c r="E1" s="11"/>
      <c r="F1" s="11"/>
      <c r="G1" s="11"/>
      <c r="H1" s="11"/>
    </row>
    <row r="3" spans="1:8" ht="17.25" x14ac:dyDescent="0.3">
      <c r="A3" s="23" t="s">
        <v>1</v>
      </c>
      <c r="B3" s="23"/>
      <c r="D3" s="1" t="s">
        <v>2</v>
      </c>
    </row>
    <row r="4" spans="1:8" x14ac:dyDescent="0.25">
      <c r="A4" s="2" t="s">
        <v>3</v>
      </c>
      <c r="B4" s="21">
        <f>COUNTA(MASTER_KAVLING!A4:A17)</f>
        <v>14</v>
      </c>
      <c r="D4" s="2" t="s">
        <v>4</v>
      </c>
      <c r="E4" s="3" t="s">
        <v>5</v>
      </c>
    </row>
    <row r="5" spans="1:8" x14ac:dyDescent="0.25">
      <c r="A5" s="2" t="s">
        <v>6</v>
      </c>
      <c r="B5" s="21">
        <f>COUNTIF(MASTER_KAVLING!I4:I17,"Tersedia")</f>
        <v>14</v>
      </c>
      <c r="D5" s="2" t="s">
        <v>7</v>
      </c>
      <c r="E5" s="3" t="s">
        <v>8</v>
      </c>
    </row>
    <row r="6" spans="1:8" x14ac:dyDescent="0.25">
      <c r="A6" s="2" t="s">
        <v>9</v>
      </c>
      <c r="B6" s="21">
        <f>COUNTIF(MASTER_KAVLING!I4:I17,"Reservasi")</f>
        <v>0</v>
      </c>
      <c r="D6" s="2" t="s">
        <v>10</v>
      </c>
      <c r="E6" s="3" t="s">
        <v>11</v>
      </c>
    </row>
    <row r="7" spans="1:8" x14ac:dyDescent="0.25">
      <c r="A7" s="2" t="s">
        <v>12</v>
      </c>
      <c r="B7" s="21">
        <f>COUNTIF(MASTER_KAVLING!I4:I17,"Booking")</f>
        <v>0</v>
      </c>
      <c r="D7" s="2" t="s">
        <v>13</v>
      </c>
      <c r="E7" s="3" t="s">
        <v>14</v>
      </c>
    </row>
    <row r="8" spans="1:8" x14ac:dyDescent="0.25">
      <c r="A8" s="2" t="s">
        <v>15</v>
      </c>
      <c r="B8" s="21">
        <f>COUNTIF(MASTER_KAVLING!I4:I17,"Terjual")</f>
        <v>0</v>
      </c>
      <c r="D8" s="2" t="s">
        <v>16</v>
      </c>
      <c r="E8" s="3" t="s">
        <v>17</v>
      </c>
    </row>
    <row r="9" spans="1:8" x14ac:dyDescent="0.25">
      <c r="A9" s="2" t="s">
        <v>18</v>
      </c>
      <c r="B9" s="19">
        <f>SKEMA_HARGA!E4</f>
        <v>500000</v>
      </c>
      <c r="D9" s="2" t="s">
        <v>19</v>
      </c>
      <c r="E9" s="3" t="s">
        <v>20</v>
      </c>
    </row>
    <row r="10" spans="1:8" x14ac:dyDescent="0.25">
      <c r="A10" s="2" t="s">
        <v>21</v>
      </c>
      <c r="B10" s="19">
        <f>SUM(PENJUALAN!F4:F203)</f>
        <v>0</v>
      </c>
    </row>
    <row r="11" spans="1:8" x14ac:dyDescent="0.25">
      <c r="A11" s="2" t="s">
        <v>22</v>
      </c>
      <c r="B11" s="19">
        <f>SUM(PEMBAYARAN!F4:F503)</f>
        <v>0</v>
      </c>
    </row>
    <row r="12" spans="1:8" x14ac:dyDescent="0.25">
      <c r="A12" s="2" t="s">
        <v>23</v>
      </c>
      <c r="B12" s="19">
        <f>SUM(PENJUALAN!L4:L203)</f>
        <v>0</v>
      </c>
      <c r="D12" s="8" t="s">
        <v>24</v>
      </c>
      <c r="E12" t="s">
        <v>25</v>
      </c>
    </row>
    <row r="13" spans="1:8" x14ac:dyDescent="0.25">
      <c r="A13" s="2" t="s">
        <v>26</v>
      </c>
      <c r="B13" s="19">
        <f>IFERROR(LOOKUP(2,1/(KAS_PROYEK!G:G&lt;&gt;""),KAS_PROYEK!G:G),0)</f>
        <v>-500000</v>
      </c>
      <c r="D13" s="8" t="s">
        <v>27</v>
      </c>
      <c r="E13" t="s">
        <v>28</v>
      </c>
    </row>
    <row r="14" spans="1:8" x14ac:dyDescent="0.25">
      <c r="A14" s="2" t="s">
        <v>29</v>
      </c>
      <c r="B14" s="19">
        <f>SUM(RAB_MASTER!D4:D100)</f>
        <v>500000</v>
      </c>
    </row>
  </sheetData>
  <autoFilter ref="A1:H14" xr:uid="{00000000-0009-0000-0000-000000000000}"/>
  <mergeCells count="2">
    <mergeCell ref="A1:H1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showGridLines="0" workbookViewId="0">
      <pane ySplit="2" topLeftCell="A3" activePane="bottomLeft" state="frozen"/>
      <selection pane="bottomLeft" activeCell="B8" sqref="B8:B12"/>
    </sheetView>
  </sheetViews>
  <sheetFormatPr defaultRowHeight="15" x14ac:dyDescent="0.25"/>
  <cols>
    <col min="1" max="2" width="28" customWidth="1"/>
    <col min="3" max="3" width="48" customWidth="1"/>
  </cols>
  <sheetData>
    <row r="1" spans="1:4" ht="21" x14ac:dyDescent="0.35">
      <c r="A1" s="10" t="s">
        <v>30</v>
      </c>
      <c r="B1" s="11"/>
      <c r="C1" s="11"/>
      <c r="D1" s="11"/>
    </row>
    <row r="3" spans="1:4" x14ac:dyDescent="0.25">
      <c r="A3" s="5" t="s">
        <v>31</v>
      </c>
      <c r="B3" s="5" t="s">
        <v>32</v>
      </c>
      <c r="C3" s="5" t="s">
        <v>33</v>
      </c>
    </row>
    <row r="4" spans="1:4" x14ac:dyDescent="0.25">
      <c r="A4" s="3" t="s">
        <v>34</v>
      </c>
      <c r="B4" s="21" t="s">
        <v>35</v>
      </c>
      <c r="C4" s="3" t="s">
        <v>36</v>
      </c>
    </row>
    <row r="5" spans="1:4" x14ac:dyDescent="0.25">
      <c r="A5" s="3" t="s">
        <v>37</v>
      </c>
      <c r="B5" s="21">
        <v>17.34</v>
      </c>
      <c r="C5" s="3" t="s">
        <v>38</v>
      </c>
    </row>
    <row r="6" spans="1:4" x14ac:dyDescent="0.25">
      <c r="A6" s="3" t="s">
        <v>39</v>
      </c>
      <c r="B6" s="21">
        <v>14</v>
      </c>
      <c r="C6" s="3" t="s">
        <v>40</v>
      </c>
    </row>
    <row r="7" spans="1:4" x14ac:dyDescent="0.25">
      <c r="A7" s="3" t="s">
        <v>41</v>
      </c>
      <c r="B7" s="21">
        <v>5.3</v>
      </c>
      <c r="C7" s="3" t="s">
        <v>42</v>
      </c>
    </row>
    <row r="8" spans="1:4" x14ac:dyDescent="0.25">
      <c r="A8" s="3" t="s">
        <v>43</v>
      </c>
      <c r="B8" s="22">
        <v>500000</v>
      </c>
      <c r="C8" s="3" t="s">
        <v>44</v>
      </c>
    </row>
    <row r="9" spans="1:4" x14ac:dyDescent="0.25">
      <c r="A9" s="3" t="s">
        <v>45</v>
      </c>
      <c r="B9" s="22">
        <v>50000</v>
      </c>
      <c r="C9" s="3" t="s">
        <v>46</v>
      </c>
    </row>
    <row r="10" spans="1:4" x14ac:dyDescent="0.25">
      <c r="A10" s="3" t="s">
        <v>47</v>
      </c>
      <c r="B10" s="22">
        <v>500000</v>
      </c>
      <c r="C10" s="3" t="s">
        <v>48</v>
      </c>
    </row>
    <row r="11" spans="1:4" x14ac:dyDescent="0.25">
      <c r="A11" s="3" t="s">
        <v>49</v>
      </c>
      <c r="B11" s="22">
        <v>2000000</v>
      </c>
      <c r="C11" s="3" t="s">
        <v>48</v>
      </c>
    </row>
    <row r="12" spans="1:4" x14ac:dyDescent="0.25">
      <c r="A12" s="3" t="s">
        <v>50</v>
      </c>
      <c r="B12" s="22">
        <v>1000000</v>
      </c>
      <c r="C12" s="3" t="s">
        <v>51</v>
      </c>
    </row>
    <row r="13" spans="1:4" x14ac:dyDescent="0.25">
      <c r="A13" s="3" t="s">
        <v>52</v>
      </c>
      <c r="B13" s="21" t="s">
        <v>53</v>
      </c>
      <c r="C13" s="3" t="s">
        <v>54</v>
      </c>
    </row>
    <row r="14" spans="1:4" x14ac:dyDescent="0.25">
      <c r="A14" s="3" t="s">
        <v>55</v>
      </c>
      <c r="B14" s="21">
        <v>18</v>
      </c>
      <c r="C14" s="3" t="s">
        <v>56</v>
      </c>
    </row>
    <row r="15" spans="1:4" x14ac:dyDescent="0.25">
      <c r="A15" s="3" t="s">
        <v>57</v>
      </c>
      <c r="B15" s="21" t="s">
        <v>58</v>
      </c>
      <c r="C15" s="3" t="s">
        <v>59</v>
      </c>
    </row>
    <row r="16" spans="1:4" x14ac:dyDescent="0.25">
      <c r="A16" s="3" t="s">
        <v>60</v>
      </c>
      <c r="B16" s="21" t="s">
        <v>61</v>
      </c>
      <c r="C16" s="3" t="s">
        <v>62</v>
      </c>
    </row>
    <row r="17" spans="1:3" x14ac:dyDescent="0.25">
      <c r="A17" s="3" t="s">
        <v>63</v>
      </c>
      <c r="B17" s="21" t="s">
        <v>64</v>
      </c>
      <c r="C17" s="3" t="s">
        <v>62</v>
      </c>
    </row>
    <row r="18" spans="1:3" x14ac:dyDescent="0.25">
      <c r="A18" s="3" t="s">
        <v>65</v>
      </c>
      <c r="B18" s="21" t="s">
        <v>66</v>
      </c>
      <c r="C18" s="3" t="s">
        <v>62</v>
      </c>
    </row>
    <row r="20" spans="1:3" ht="15.75" x14ac:dyDescent="0.25">
      <c r="A20" s="9" t="s">
        <v>67</v>
      </c>
    </row>
    <row r="21" spans="1:3" x14ac:dyDescent="0.25">
      <c r="A21" t="s">
        <v>68</v>
      </c>
      <c r="B21" s="7">
        <v>0.5</v>
      </c>
      <c r="C21" t="s">
        <v>69</v>
      </c>
    </row>
    <row r="22" spans="1:3" x14ac:dyDescent="0.25">
      <c r="A22" t="s">
        <v>70</v>
      </c>
      <c r="B22" s="7">
        <v>0.25</v>
      </c>
      <c r="C22" t="s">
        <v>71</v>
      </c>
    </row>
    <row r="23" spans="1:3" x14ac:dyDescent="0.25">
      <c r="A23" t="s">
        <v>72</v>
      </c>
      <c r="B23" s="7">
        <v>0.1</v>
      </c>
      <c r="C23" t="s">
        <v>73</v>
      </c>
    </row>
    <row r="24" spans="1:3" x14ac:dyDescent="0.25">
      <c r="A24" t="s">
        <v>74</v>
      </c>
      <c r="B24" s="7">
        <v>0.1</v>
      </c>
      <c r="C24" t="s">
        <v>75</v>
      </c>
    </row>
    <row r="25" spans="1:3" x14ac:dyDescent="0.25">
      <c r="A25" t="s">
        <v>76</v>
      </c>
      <c r="B25" s="7">
        <v>0.05</v>
      </c>
      <c r="C25" t="s">
        <v>77</v>
      </c>
    </row>
    <row r="27" spans="1:3" x14ac:dyDescent="0.25">
      <c r="A27" t="s">
        <v>78</v>
      </c>
      <c r="B27" t="s">
        <v>79</v>
      </c>
      <c r="C27" t="s">
        <v>80</v>
      </c>
    </row>
  </sheetData>
  <autoFilter ref="A1:D18" xr:uid="{00000000-0009-0000-0000-000001000000}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8"/>
  <sheetViews>
    <sheetView showGridLines="0" topLeftCell="B1" workbookViewId="0">
      <pane ySplit="2" topLeftCell="A3" activePane="bottomLeft" state="frozen"/>
      <selection pane="bottomLeft" activeCell="A4" sqref="A4:L18"/>
    </sheetView>
  </sheetViews>
  <sheetFormatPr defaultRowHeight="15" x14ac:dyDescent="0.25"/>
  <cols>
    <col min="1" max="1" width="14" customWidth="1"/>
    <col min="2" max="3" width="8" customWidth="1"/>
    <col min="4" max="4" width="16" customWidth="1"/>
    <col min="5" max="5" width="25" customWidth="1"/>
    <col min="6" max="6" width="12" customWidth="1"/>
    <col min="7" max="7" width="14" customWidth="1"/>
    <col min="8" max="8" width="16" customWidth="1"/>
    <col min="9" max="9" width="14" customWidth="1"/>
    <col min="10" max="10" width="16" customWidth="1"/>
    <col min="11" max="11" width="20" customWidth="1"/>
    <col min="12" max="12" width="28" customWidth="1"/>
  </cols>
  <sheetData>
    <row r="1" spans="1:12" ht="21" x14ac:dyDescent="0.35">
      <c r="A1" s="10" t="s">
        <v>81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3" spans="1:12" x14ac:dyDescent="0.25">
      <c r="A3" s="5" t="s">
        <v>82</v>
      </c>
      <c r="B3" s="5" t="s">
        <v>83</v>
      </c>
      <c r="C3" s="5" t="s">
        <v>84</v>
      </c>
      <c r="D3" s="5" t="s">
        <v>85</v>
      </c>
      <c r="E3" s="5" t="s">
        <v>86</v>
      </c>
      <c r="F3" s="5" t="s">
        <v>87</v>
      </c>
      <c r="G3" s="5" t="s">
        <v>88</v>
      </c>
      <c r="H3" s="5" t="s">
        <v>89</v>
      </c>
      <c r="I3" s="5" t="s">
        <v>90</v>
      </c>
      <c r="J3" s="5" t="s">
        <v>91</v>
      </c>
      <c r="K3" s="5" t="s">
        <v>92</v>
      </c>
      <c r="L3" s="5" t="s">
        <v>93</v>
      </c>
    </row>
    <row r="4" spans="1:12" x14ac:dyDescent="0.25">
      <c r="A4" s="21" t="s">
        <v>64</v>
      </c>
      <c r="B4" s="21" t="s">
        <v>94</v>
      </c>
      <c r="C4" s="21" t="s">
        <v>95</v>
      </c>
      <c r="D4" s="21" t="s">
        <v>10</v>
      </c>
      <c r="E4" s="21" t="s">
        <v>96</v>
      </c>
      <c r="F4" s="21">
        <v>98</v>
      </c>
      <c r="G4" s="19">
        <f>IF(F4="","",SKEMA_HARGA!$E$4)</f>
        <v>500000</v>
      </c>
      <c r="H4" s="19">
        <f t="shared" ref="H4:H17" si="0">IF(OR(F4="",G4=""),"",F4*G4)</f>
        <v>49000000</v>
      </c>
      <c r="I4" s="21" t="s">
        <v>6</v>
      </c>
      <c r="J4" s="21"/>
      <c r="K4" s="21"/>
      <c r="L4" s="21"/>
    </row>
    <row r="5" spans="1:12" x14ac:dyDescent="0.25">
      <c r="A5" s="21" t="s">
        <v>97</v>
      </c>
      <c r="B5" s="21" t="s">
        <v>94</v>
      </c>
      <c r="C5" s="21" t="s">
        <v>98</v>
      </c>
      <c r="D5" s="21" t="s">
        <v>10</v>
      </c>
      <c r="E5" s="21" t="s">
        <v>96</v>
      </c>
      <c r="F5" s="21">
        <v>98</v>
      </c>
      <c r="G5" s="19">
        <f>IF(F5="","",SKEMA_HARGA!$E$4)</f>
        <v>500000</v>
      </c>
      <c r="H5" s="19">
        <f t="shared" si="0"/>
        <v>49000000</v>
      </c>
      <c r="I5" s="21" t="s">
        <v>6</v>
      </c>
      <c r="J5" s="21"/>
      <c r="K5" s="21"/>
      <c r="L5" s="21"/>
    </row>
    <row r="6" spans="1:12" x14ac:dyDescent="0.25">
      <c r="A6" s="21" t="s">
        <v>99</v>
      </c>
      <c r="B6" s="21" t="s">
        <v>94</v>
      </c>
      <c r="C6" s="21" t="s">
        <v>100</v>
      </c>
      <c r="D6" s="21" t="s">
        <v>10</v>
      </c>
      <c r="E6" s="21" t="s">
        <v>96</v>
      </c>
      <c r="F6" s="21">
        <v>98</v>
      </c>
      <c r="G6" s="19">
        <f>IF(F6="","",SKEMA_HARGA!$E$4)</f>
        <v>500000</v>
      </c>
      <c r="H6" s="19">
        <f t="shared" si="0"/>
        <v>49000000</v>
      </c>
      <c r="I6" s="21" t="s">
        <v>6</v>
      </c>
      <c r="J6" s="21"/>
      <c r="K6" s="21"/>
      <c r="L6" s="21"/>
    </row>
    <row r="7" spans="1:12" x14ac:dyDescent="0.25">
      <c r="A7" s="21" t="s">
        <v>101</v>
      </c>
      <c r="B7" s="21" t="s">
        <v>94</v>
      </c>
      <c r="C7" s="21" t="s">
        <v>102</v>
      </c>
      <c r="D7" s="21" t="s">
        <v>10</v>
      </c>
      <c r="E7" s="21" t="s">
        <v>96</v>
      </c>
      <c r="F7" s="21">
        <v>98</v>
      </c>
      <c r="G7" s="19">
        <f>IF(F7="","",SKEMA_HARGA!$E$4)</f>
        <v>500000</v>
      </c>
      <c r="H7" s="19">
        <f t="shared" si="0"/>
        <v>49000000</v>
      </c>
      <c r="I7" s="21" t="s">
        <v>6</v>
      </c>
      <c r="J7" s="21"/>
      <c r="K7" s="21"/>
      <c r="L7" s="21"/>
    </row>
    <row r="8" spans="1:12" x14ac:dyDescent="0.25">
      <c r="A8" s="21" t="s">
        <v>103</v>
      </c>
      <c r="B8" s="21" t="s">
        <v>94</v>
      </c>
      <c r="C8" s="21" t="s">
        <v>104</v>
      </c>
      <c r="D8" s="21" t="s">
        <v>10</v>
      </c>
      <c r="E8" s="21" t="s">
        <v>96</v>
      </c>
      <c r="F8" s="21">
        <v>98</v>
      </c>
      <c r="G8" s="19">
        <f>IF(F8="","",SKEMA_HARGA!$E$4)</f>
        <v>500000</v>
      </c>
      <c r="H8" s="19">
        <f t="shared" si="0"/>
        <v>49000000</v>
      </c>
      <c r="I8" s="21" t="s">
        <v>6</v>
      </c>
      <c r="J8" s="21"/>
      <c r="K8" s="21"/>
      <c r="L8" s="21"/>
    </row>
    <row r="9" spans="1:12" x14ac:dyDescent="0.25">
      <c r="A9" s="21" t="s">
        <v>105</v>
      </c>
      <c r="B9" s="21" t="s">
        <v>94</v>
      </c>
      <c r="C9" s="21" t="s">
        <v>106</v>
      </c>
      <c r="D9" s="21" t="s">
        <v>10</v>
      </c>
      <c r="E9" s="21" t="s">
        <v>96</v>
      </c>
      <c r="F9" s="21">
        <v>98</v>
      </c>
      <c r="G9" s="19">
        <f>IF(F9="","",SKEMA_HARGA!$E$4)</f>
        <v>500000</v>
      </c>
      <c r="H9" s="19">
        <f t="shared" si="0"/>
        <v>49000000</v>
      </c>
      <c r="I9" s="21" t="s">
        <v>6</v>
      </c>
      <c r="J9" s="21"/>
      <c r="K9" s="21"/>
      <c r="L9" s="21"/>
    </row>
    <row r="10" spans="1:12" x14ac:dyDescent="0.25">
      <c r="A10" s="21" t="s">
        <v>107</v>
      </c>
      <c r="B10" s="21" t="s">
        <v>94</v>
      </c>
      <c r="C10" s="21" t="s">
        <v>108</v>
      </c>
      <c r="D10" s="21" t="s">
        <v>10</v>
      </c>
      <c r="E10" s="21" t="s">
        <v>96</v>
      </c>
      <c r="F10" s="21">
        <v>98</v>
      </c>
      <c r="G10" s="19">
        <f>IF(F10="","",SKEMA_HARGA!$E$4)</f>
        <v>500000</v>
      </c>
      <c r="H10" s="19">
        <f t="shared" si="0"/>
        <v>49000000</v>
      </c>
      <c r="I10" s="21" t="s">
        <v>6</v>
      </c>
      <c r="J10" s="21"/>
      <c r="K10" s="21"/>
      <c r="L10" s="21"/>
    </row>
    <row r="11" spans="1:12" x14ac:dyDescent="0.25">
      <c r="A11" s="21" t="s">
        <v>109</v>
      </c>
      <c r="B11" s="21" t="s">
        <v>110</v>
      </c>
      <c r="C11" s="21" t="s">
        <v>111</v>
      </c>
      <c r="D11" s="21" t="s">
        <v>13</v>
      </c>
      <c r="E11" s="21" t="s">
        <v>112</v>
      </c>
      <c r="F11" s="21">
        <v>70</v>
      </c>
      <c r="G11" s="19">
        <f>IF(F11="","",SKEMA_HARGA!$E$4)</f>
        <v>500000</v>
      </c>
      <c r="H11" s="19">
        <f t="shared" si="0"/>
        <v>35000000</v>
      </c>
      <c r="I11" s="21" t="s">
        <v>6</v>
      </c>
      <c r="J11" s="21"/>
      <c r="K11" s="21"/>
      <c r="L11" s="21"/>
    </row>
    <row r="12" spans="1:12" x14ac:dyDescent="0.25">
      <c r="A12" s="21" t="s">
        <v>113</v>
      </c>
      <c r="B12" s="21" t="s">
        <v>110</v>
      </c>
      <c r="C12" s="21" t="s">
        <v>114</v>
      </c>
      <c r="D12" s="21" t="s">
        <v>13</v>
      </c>
      <c r="E12" s="21" t="s">
        <v>112</v>
      </c>
      <c r="F12" s="21">
        <v>70</v>
      </c>
      <c r="G12" s="19">
        <f>IF(F12="","",SKEMA_HARGA!$E$4)</f>
        <v>500000</v>
      </c>
      <c r="H12" s="19">
        <f t="shared" si="0"/>
        <v>35000000</v>
      </c>
      <c r="I12" s="21" t="s">
        <v>6</v>
      </c>
      <c r="J12" s="21"/>
      <c r="K12" s="21"/>
      <c r="L12" s="21"/>
    </row>
    <row r="13" spans="1:12" x14ac:dyDescent="0.25">
      <c r="A13" s="21" t="s">
        <v>115</v>
      </c>
      <c r="B13" s="21" t="s">
        <v>110</v>
      </c>
      <c r="C13" s="21" t="s">
        <v>116</v>
      </c>
      <c r="D13" s="21" t="s">
        <v>13</v>
      </c>
      <c r="E13" s="21" t="s">
        <v>112</v>
      </c>
      <c r="F13" s="21">
        <v>70</v>
      </c>
      <c r="G13" s="19">
        <f>IF(F13="","",SKEMA_HARGA!$E$4)</f>
        <v>500000</v>
      </c>
      <c r="H13" s="19">
        <f t="shared" si="0"/>
        <v>35000000</v>
      </c>
      <c r="I13" s="21" t="s">
        <v>6</v>
      </c>
      <c r="J13" s="21"/>
      <c r="K13" s="21"/>
      <c r="L13" s="21"/>
    </row>
    <row r="14" spans="1:12" x14ac:dyDescent="0.25">
      <c r="A14" s="21" t="s">
        <v>117</v>
      </c>
      <c r="B14" s="21" t="s">
        <v>110</v>
      </c>
      <c r="C14" s="21" t="s">
        <v>118</v>
      </c>
      <c r="D14" s="21" t="s">
        <v>13</v>
      </c>
      <c r="E14" s="21" t="s">
        <v>112</v>
      </c>
      <c r="F14" s="21">
        <v>70</v>
      </c>
      <c r="G14" s="19">
        <f>IF(F14="","",SKEMA_HARGA!$E$4)</f>
        <v>500000</v>
      </c>
      <c r="H14" s="19">
        <f t="shared" si="0"/>
        <v>35000000</v>
      </c>
      <c r="I14" s="21" t="s">
        <v>6</v>
      </c>
      <c r="J14" s="21"/>
      <c r="K14" s="21"/>
      <c r="L14" s="21"/>
    </row>
    <row r="15" spans="1:12" x14ac:dyDescent="0.25">
      <c r="A15" s="21" t="s">
        <v>119</v>
      </c>
      <c r="B15" s="21" t="s">
        <v>110</v>
      </c>
      <c r="C15" s="21" t="s">
        <v>120</v>
      </c>
      <c r="D15" s="21" t="s">
        <v>13</v>
      </c>
      <c r="E15" s="21" t="s">
        <v>112</v>
      </c>
      <c r="F15" s="21">
        <v>70</v>
      </c>
      <c r="G15" s="19">
        <f>IF(F15="","",SKEMA_HARGA!$E$4)</f>
        <v>500000</v>
      </c>
      <c r="H15" s="19">
        <f t="shared" si="0"/>
        <v>35000000</v>
      </c>
      <c r="I15" s="21" t="s">
        <v>6</v>
      </c>
      <c r="J15" s="21"/>
      <c r="K15" s="21"/>
      <c r="L15" s="21"/>
    </row>
    <row r="16" spans="1:12" x14ac:dyDescent="0.25">
      <c r="A16" s="21" t="s">
        <v>121</v>
      </c>
      <c r="B16" s="21" t="s">
        <v>110</v>
      </c>
      <c r="C16" s="21" t="s">
        <v>122</v>
      </c>
      <c r="D16" s="21" t="s">
        <v>13</v>
      </c>
      <c r="E16" s="21" t="s">
        <v>112</v>
      </c>
      <c r="F16" s="21">
        <v>70</v>
      </c>
      <c r="G16" s="19">
        <f>IF(F16="","",SKEMA_HARGA!$E$4)</f>
        <v>500000</v>
      </c>
      <c r="H16" s="19">
        <f t="shared" si="0"/>
        <v>35000000</v>
      </c>
      <c r="I16" s="21" t="s">
        <v>6</v>
      </c>
      <c r="J16" s="21"/>
      <c r="K16" s="21"/>
      <c r="L16" s="21"/>
    </row>
    <row r="17" spans="1:12" x14ac:dyDescent="0.25">
      <c r="A17" s="21" t="s">
        <v>123</v>
      </c>
      <c r="B17" s="21" t="s">
        <v>110</v>
      </c>
      <c r="C17" s="21" t="s">
        <v>16</v>
      </c>
      <c r="D17" s="21" t="s">
        <v>124</v>
      </c>
      <c r="E17" s="21" t="s">
        <v>125</v>
      </c>
      <c r="F17" s="21"/>
      <c r="G17" s="19" t="str">
        <f>IF(F17="","",SKEMA_HARGA!$E$4)</f>
        <v/>
      </c>
      <c r="H17" s="19" t="str">
        <f t="shared" si="0"/>
        <v/>
      </c>
      <c r="I17" s="21" t="s">
        <v>6</v>
      </c>
      <c r="J17" s="21"/>
      <c r="K17" s="21"/>
      <c r="L17" s="21"/>
    </row>
    <row r="18" spans="1:12" x14ac:dyDescent="0.2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</row>
  </sheetData>
  <autoFilter ref="A1:L18" xr:uid="{00000000-0009-0000-0000-000002000000}"/>
  <mergeCells count="1">
    <mergeCell ref="A1:L1"/>
  </mergeCells>
  <dataValidations count="1">
    <dataValidation type="list" allowBlank="1" sqref="I4:I17" xr:uid="{00000000-0002-0000-0200-000000000000}">
      <formula1>"Tersedia,Reservasi,Booking,Terjual"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showGridLines="0" workbookViewId="0">
      <pane ySplit="2" topLeftCell="A3" activePane="bottomLeft" state="frozen"/>
      <selection pane="bottomLeft" activeCell="A4" sqref="A4:F8"/>
    </sheetView>
  </sheetViews>
  <sheetFormatPr defaultRowHeight="15" x14ac:dyDescent="0.25"/>
  <cols>
    <col min="1" max="1" width="14" customWidth="1"/>
    <col min="2" max="2" width="18" customWidth="1"/>
    <col min="3" max="3" width="20" customWidth="1"/>
    <col min="4" max="5" width="16" customWidth="1"/>
    <col min="6" max="6" width="32" customWidth="1"/>
  </cols>
  <sheetData>
    <row r="1" spans="1:6" ht="21" x14ac:dyDescent="0.35">
      <c r="A1" s="10" t="s">
        <v>126</v>
      </c>
      <c r="B1" s="11"/>
      <c r="C1" s="11"/>
      <c r="D1" s="11"/>
      <c r="E1" s="11"/>
      <c r="F1" s="11"/>
    </row>
    <row r="3" spans="1:6" x14ac:dyDescent="0.25">
      <c r="A3" s="5" t="s">
        <v>127</v>
      </c>
      <c r="B3" s="5" t="s">
        <v>128</v>
      </c>
      <c r="C3" s="5" t="s">
        <v>129</v>
      </c>
      <c r="D3" s="5" t="s">
        <v>88</v>
      </c>
      <c r="E3" s="5" t="s">
        <v>130</v>
      </c>
      <c r="F3" s="5" t="s">
        <v>33</v>
      </c>
    </row>
    <row r="4" spans="1:6" x14ac:dyDescent="0.25">
      <c r="A4" s="21" t="s">
        <v>44</v>
      </c>
      <c r="B4" s="21">
        <v>0</v>
      </c>
      <c r="C4" s="21">
        <v>2</v>
      </c>
      <c r="D4" s="19">
        <v>500000</v>
      </c>
      <c r="E4" s="19">
        <f>500000+INT(COUNTIF(MASTER_KAVLING!I4:I17,"Terjual")/3)*50000</f>
        <v>500000</v>
      </c>
      <c r="F4" s="21" t="s">
        <v>131</v>
      </c>
    </row>
    <row r="5" spans="1:6" x14ac:dyDescent="0.25">
      <c r="A5" s="21" t="s">
        <v>132</v>
      </c>
      <c r="B5" s="21">
        <v>3</v>
      </c>
      <c r="C5" s="21">
        <v>5</v>
      </c>
      <c r="D5" s="19">
        <v>550000</v>
      </c>
      <c r="E5" s="21"/>
      <c r="F5" s="21" t="s">
        <v>133</v>
      </c>
    </row>
    <row r="6" spans="1:6" x14ac:dyDescent="0.25">
      <c r="A6" s="21" t="s">
        <v>134</v>
      </c>
      <c r="B6" s="21">
        <v>6</v>
      </c>
      <c r="C6" s="21">
        <v>8</v>
      </c>
      <c r="D6" s="19">
        <v>600000</v>
      </c>
      <c r="E6" s="21"/>
      <c r="F6" s="21" t="s">
        <v>135</v>
      </c>
    </row>
    <row r="7" spans="1:6" x14ac:dyDescent="0.25">
      <c r="A7" s="21" t="s">
        <v>136</v>
      </c>
      <c r="B7" s="21">
        <v>9</v>
      </c>
      <c r="C7" s="21">
        <v>11</v>
      </c>
      <c r="D7" s="19">
        <v>650000</v>
      </c>
      <c r="E7" s="21"/>
      <c r="F7" s="21" t="s">
        <v>137</v>
      </c>
    </row>
    <row r="8" spans="1:6" x14ac:dyDescent="0.25">
      <c r="A8" s="21" t="s">
        <v>138</v>
      </c>
      <c r="B8" s="21">
        <v>12</v>
      </c>
      <c r="C8" s="21">
        <v>14</v>
      </c>
      <c r="D8" s="19">
        <v>700000</v>
      </c>
      <c r="E8" s="21"/>
      <c r="F8" s="21" t="s">
        <v>139</v>
      </c>
    </row>
  </sheetData>
  <autoFilter ref="A1:F8" xr:uid="{00000000-0009-0000-0000-000003000000}"/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03"/>
  <sheetViews>
    <sheetView showGridLines="0" topLeftCell="E1" workbookViewId="0">
      <pane ySplit="2" topLeftCell="A3" activePane="bottomLeft" state="frozen"/>
      <selection pane="bottomLeft" activeCell="A4" sqref="A4:M17"/>
    </sheetView>
  </sheetViews>
  <sheetFormatPr defaultRowHeight="15" x14ac:dyDescent="0.25"/>
  <cols>
    <col min="1" max="1" width="17" customWidth="1"/>
    <col min="2" max="2" width="24" customWidth="1"/>
    <col min="3" max="3" width="20" customWidth="1"/>
    <col min="4" max="4" width="17" customWidth="1"/>
    <col min="5" max="5" width="35" customWidth="1"/>
    <col min="6" max="7" width="15" customWidth="1"/>
    <col min="8" max="8" width="14" customWidth="1"/>
    <col min="9" max="9" width="22" customWidth="1"/>
    <col min="10" max="12" width="14" customWidth="1"/>
    <col min="13" max="13" width="30" customWidth="1"/>
  </cols>
  <sheetData>
    <row r="1" spans="1:13" ht="21" x14ac:dyDescent="0.35">
      <c r="A1" s="10" t="s">
        <v>140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3" spans="1:13" x14ac:dyDescent="0.25">
      <c r="A3" s="12" t="s">
        <v>91</v>
      </c>
      <c r="B3" s="12" t="s">
        <v>141</v>
      </c>
      <c r="C3" s="12" t="s">
        <v>142</v>
      </c>
      <c r="D3" s="12" t="s">
        <v>143</v>
      </c>
      <c r="E3" s="12" t="s">
        <v>144</v>
      </c>
      <c r="F3" s="12" t="s">
        <v>145</v>
      </c>
      <c r="G3" s="12" t="s">
        <v>90</v>
      </c>
      <c r="H3" s="12" t="s">
        <v>146</v>
      </c>
      <c r="I3" s="12" t="s">
        <v>92</v>
      </c>
      <c r="J3" s="12" t="s">
        <v>9</v>
      </c>
      <c r="K3" s="12" t="s">
        <v>12</v>
      </c>
      <c r="L3" s="12" t="s">
        <v>52</v>
      </c>
      <c r="M3" s="12" t="s">
        <v>93</v>
      </c>
    </row>
    <row r="4" spans="1:13" x14ac:dyDescent="0.25">
      <c r="A4" s="13" t="str">
        <f t="shared" ref="A4:A35" si="0">IF(B4="","","CUS-2026-"&amp;TEXT(ROW()-3,"0000"))</f>
        <v/>
      </c>
      <c r="B4" s="13"/>
      <c r="C4" s="13"/>
      <c r="D4" s="13"/>
      <c r="E4" s="13"/>
      <c r="F4" s="13"/>
      <c r="G4" s="13"/>
      <c r="H4" s="13"/>
      <c r="I4" s="13"/>
      <c r="J4" s="17"/>
      <c r="K4" s="17"/>
      <c r="L4" s="17"/>
      <c r="M4" s="13"/>
    </row>
    <row r="5" spans="1:13" x14ac:dyDescent="0.25">
      <c r="A5" s="13" t="str">
        <f t="shared" si="0"/>
        <v/>
      </c>
      <c r="B5" s="13"/>
      <c r="C5" s="13"/>
      <c r="D5" s="13"/>
      <c r="E5" s="13"/>
      <c r="F5" s="13"/>
      <c r="G5" s="13"/>
      <c r="H5" s="13"/>
      <c r="I5" s="13"/>
      <c r="J5" s="17"/>
      <c r="K5" s="17"/>
      <c r="L5" s="17"/>
      <c r="M5" s="13"/>
    </row>
    <row r="6" spans="1:13" x14ac:dyDescent="0.25">
      <c r="A6" s="13" t="str">
        <f t="shared" si="0"/>
        <v/>
      </c>
      <c r="B6" s="13"/>
      <c r="C6" s="13"/>
      <c r="D6" s="13"/>
      <c r="E6" s="13"/>
      <c r="F6" s="13"/>
      <c r="G6" s="13"/>
      <c r="H6" s="13"/>
      <c r="I6" s="13"/>
      <c r="J6" s="17"/>
      <c r="K6" s="17"/>
      <c r="L6" s="17"/>
      <c r="M6" s="13"/>
    </row>
    <row r="7" spans="1:13" x14ac:dyDescent="0.25">
      <c r="A7" s="13" t="str">
        <f t="shared" si="0"/>
        <v/>
      </c>
      <c r="B7" s="13"/>
      <c r="C7" s="13"/>
      <c r="D7" s="13"/>
      <c r="E7" s="13"/>
      <c r="F7" s="13"/>
      <c r="G7" s="13"/>
      <c r="H7" s="13"/>
      <c r="I7" s="13"/>
      <c r="J7" s="17"/>
      <c r="K7" s="17"/>
      <c r="L7" s="17"/>
      <c r="M7" s="13"/>
    </row>
    <row r="8" spans="1:13" x14ac:dyDescent="0.25">
      <c r="A8" s="13" t="str">
        <f t="shared" si="0"/>
        <v/>
      </c>
      <c r="B8" s="13"/>
      <c r="C8" s="13"/>
      <c r="D8" s="13"/>
      <c r="E8" s="13"/>
      <c r="F8" s="13"/>
      <c r="G8" s="13"/>
      <c r="H8" s="13"/>
      <c r="I8" s="13"/>
      <c r="J8" s="17"/>
      <c r="K8" s="17"/>
      <c r="L8" s="17"/>
      <c r="M8" s="13"/>
    </row>
    <row r="9" spans="1:13" x14ac:dyDescent="0.25">
      <c r="A9" s="13" t="str">
        <f t="shared" si="0"/>
        <v/>
      </c>
      <c r="B9" s="13"/>
      <c r="C9" s="13"/>
      <c r="D9" s="13"/>
      <c r="E9" s="13"/>
      <c r="F9" s="13"/>
      <c r="G9" s="13"/>
      <c r="H9" s="13"/>
      <c r="I9" s="13"/>
      <c r="J9" s="17"/>
      <c r="K9" s="17"/>
      <c r="L9" s="17"/>
      <c r="M9" s="13"/>
    </row>
    <row r="10" spans="1:13" x14ac:dyDescent="0.25">
      <c r="A10" s="13" t="str">
        <f t="shared" si="0"/>
        <v/>
      </c>
      <c r="B10" s="13"/>
      <c r="C10" s="13"/>
      <c r="D10" s="13"/>
      <c r="E10" s="13"/>
      <c r="F10" s="13"/>
      <c r="G10" s="13"/>
      <c r="H10" s="13"/>
      <c r="I10" s="13"/>
      <c r="J10" s="17"/>
      <c r="K10" s="17"/>
      <c r="L10" s="17"/>
      <c r="M10" s="13"/>
    </row>
    <row r="11" spans="1:13" x14ac:dyDescent="0.25">
      <c r="A11" s="13" t="str">
        <f t="shared" si="0"/>
        <v/>
      </c>
      <c r="B11" s="13"/>
      <c r="C11" s="13"/>
      <c r="D11" s="13"/>
      <c r="E11" s="13"/>
      <c r="F11" s="13"/>
      <c r="G11" s="13"/>
      <c r="H11" s="13"/>
      <c r="I11" s="13"/>
      <c r="J11" s="17"/>
      <c r="K11" s="17"/>
      <c r="L11" s="17"/>
      <c r="M11" s="13"/>
    </row>
    <row r="12" spans="1:13" x14ac:dyDescent="0.25">
      <c r="A12" s="13" t="str">
        <f t="shared" si="0"/>
        <v/>
      </c>
      <c r="B12" s="13"/>
      <c r="C12" s="13"/>
      <c r="D12" s="13"/>
      <c r="E12" s="13"/>
      <c r="F12" s="13"/>
      <c r="G12" s="13"/>
      <c r="H12" s="13"/>
      <c r="I12" s="13"/>
      <c r="J12" s="17"/>
      <c r="K12" s="17"/>
      <c r="L12" s="17"/>
      <c r="M12" s="13"/>
    </row>
    <row r="13" spans="1:13" x14ac:dyDescent="0.25">
      <c r="A13" s="13" t="str">
        <f t="shared" si="0"/>
        <v/>
      </c>
      <c r="B13" s="13"/>
      <c r="C13" s="13"/>
      <c r="D13" s="13"/>
      <c r="E13" s="13"/>
      <c r="F13" s="13"/>
      <c r="G13" s="13"/>
      <c r="H13" s="13"/>
      <c r="I13" s="13"/>
      <c r="J13" s="17"/>
      <c r="K13" s="17"/>
      <c r="L13" s="17"/>
      <c r="M13" s="13"/>
    </row>
    <row r="14" spans="1:13" x14ac:dyDescent="0.25">
      <c r="A14" s="13" t="str">
        <f t="shared" si="0"/>
        <v/>
      </c>
      <c r="B14" s="13"/>
      <c r="C14" s="13"/>
      <c r="D14" s="13"/>
      <c r="E14" s="13"/>
      <c r="F14" s="13"/>
      <c r="G14" s="13"/>
      <c r="H14" s="13"/>
      <c r="I14" s="13"/>
      <c r="J14" s="17"/>
      <c r="K14" s="17"/>
      <c r="L14" s="17"/>
      <c r="M14" s="13"/>
    </row>
    <row r="15" spans="1:13" x14ac:dyDescent="0.25">
      <c r="A15" s="13" t="str">
        <f t="shared" si="0"/>
        <v/>
      </c>
      <c r="B15" s="13"/>
      <c r="C15" s="13"/>
      <c r="D15" s="13"/>
      <c r="E15" s="13"/>
      <c r="F15" s="13"/>
      <c r="G15" s="13"/>
      <c r="H15" s="13"/>
      <c r="I15" s="13"/>
      <c r="J15" s="17"/>
      <c r="K15" s="17"/>
      <c r="L15" s="17"/>
      <c r="M15" s="13"/>
    </row>
    <row r="16" spans="1:13" x14ac:dyDescent="0.25">
      <c r="A16" s="13" t="str">
        <f t="shared" si="0"/>
        <v/>
      </c>
      <c r="B16" s="13"/>
      <c r="C16" s="13"/>
      <c r="D16" s="13"/>
      <c r="E16" s="13"/>
      <c r="F16" s="13"/>
      <c r="G16" s="13"/>
      <c r="H16" s="13"/>
      <c r="I16" s="13"/>
      <c r="J16" s="17"/>
      <c r="K16" s="17"/>
      <c r="L16" s="17"/>
      <c r="M16" s="13"/>
    </row>
    <row r="17" spans="1:13" x14ac:dyDescent="0.25">
      <c r="A17" s="13" t="str">
        <f t="shared" si="0"/>
        <v/>
      </c>
      <c r="B17" s="13"/>
      <c r="C17" s="13"/>
      <c r="D17" s="13"/>
      <c r="E17" s="13"/>
      <c r="F17" s="13"/>
      <c r="G17" s="13"/>
      <c r="H17" s="13"/>
      <c r="I17" s="13"/>
      <c r="J17" s="17"/>
      <c r="K17" s="17"/>
      <c r="L17" s="17"/>
      <c r="M17" s="13"/>
    </row>
    <row r="18" spans="1:13" x14ac:dyDescent="0.25">
      <c r="A18" t="str">
        <f t="shared" si="0"/>
        <v/>
      </c>
      <c r="J18" s="6"/>
      <c r="K18" s="6"/>
      <c r="L18" s="6"/>
    </row>
    <row r="19" spans="1:13" x14ac:dyDescent="0.25">
      <c r="A19" t="str">
        <f t="shared" si="0"/>
        <v/>
      </c>
      <c r="J19" s="6"/>
      <c r="K19" s="6"/>
      <c r="L19" s="6"/>
    </row>
    <row r="20" spans="1:13" x14ac:dyDescent="0.25">
      <c r="A20" t="str">
        <f t="shared" si="0"/>
        <v/>
      </c>
      <c r="J20" s="6"/>
      <c r="K20" s="6"/>
      <c r="L20" s="6"/>
    </row>
    <row r="21" spans="1:13" x14ac:dyDescent="0.25">
      <c r="A21" t="str">
        <f t="shared" si="0"/>
        <v/>
      </c>
      <c r="J21" s="6"/>
      <c r="K21" s="6"/>
      <c r="L21" s="6"/>
    </row>
    <row r="22" spans="1:13" x14ac:dyDescent="0.25">
      <c r="A22" t="str">
        <f t="shared" si="0"/>
        <v/>
      </c>
      <c r="J22" s="6"/>
      <c r="K22" s="6"/>
      <c r="L22" s="6"/>
    </row>
    <row r="23" spans="1:13" x14ac:dyDescent="0.25">
      <c r="A23" t="str">
        <f t="shared" si="0"/>
        <v/>
      </c>
      <c r="J23" s="6"/>
      <c r="K23" s="6"/>
      <c r="L23" s="6"/>
    </row>
    <row r="24" spans="1:13" x14ac:dyDescent="0.25">
      <c r="A24" t="str">
        <f t="shared" si="0"/>
        <v/>
      </c>
      <c r="J24" s="6"/>
      <c r="K24" s="6"/>
      <c r="L24" s="6"/>
    </row>
    <row r="25" spans="1:13" x14ac:dyDescent="0.25">
      <c r="A25" t="str">
        <f t="shared" si="0"/>
        <v/>
      </c>
      <c r="J25" s="6"/>
      <c r="K25" s="6"/>
      <c r="L25" s="6"/>
    </row>
    <row r="26" spans="1:13" x14ac:dyDescent="0.25">
      <c r="A26" t="str">
        <f t="shared" si="0"/>
        <v/>
      </c>
      <c r="J26" s="6"/>
      <c r="K26" s="6"/>
      <c r="L26" s="6"/>
    </row>
    <row r="27" spans="1:13" x14ac:dyDescent="0.25">
      <c r="A27" t="str">
        <f t="shared" si="0"/>
        <v/>
      </c>
      <c r="J27" s="6"/>
      <c r="K27" s="6"/>
      <c r="L27" s="6"/>
    </row>
    <row r="28" spans="1:13" x14ac:dyDescent="0.25">
      <c r="A28" t="str">
        <f t="shared" si="0"/>
        <v/>
      </c>
      <c r="J28" s="6"/>
      <c r="K28" s="6"/>
      <c r="L28" s="6"/>
    </row>
    <row r="29" spans="1:13" x14ac:dyDescent="0.25">
      <c r="A29" t="str">
        <f t="shared" si="0"/>
        <v/>
      </c>
      <c r="J29" s="6"/>
      <c r="K29" s="6"/>
      <c r="L29" s="6"/>
    </row>
    <row r="30" spans="1:13" x14ac:dyDescent="0.25">
      <c r="A30" t="str">
        <f t="shared" si="0"/>
        <v/>
      </c>
      <c r="J30" s="6"/>
      <c r="K30" s="6"/>
      <c r="L30" s="6"/>
    </row>
    <row r="31" spans="1:13" x14ac:dyDescent="0.25">
      <c r="A31" t="str">
        <f t="shared" si="0"/>
        <v/>
      </c>
      <c r="J31" s="6"/>
      <c r="K31" s="6"/>
      <c r="L31" s="6"/>
    </row>
    <row r="32" spans="1:13" x14ac:dyDescent="0.25">
      <c r="A32" t="str">
        <f t="shared" si="0"/>
        <v/>
      </c>
      <c r="J32" s="6"/>
      <c r="K32" s="6"/>
      <c r="L32" s="6"/>
    </row>
    <row r="33" spans="1:12" x14ac:dyDescent="0.25">
      <c r="A33" t="str">
        <f t="shared" si="0"/>
        <v/>
      </c>
      <c r="J33" s="6"/>
      <c r="K33" s="6"/>
      <c r="L33" s="6"/>
    </row>
    <row r="34" spans="1:12" x14ac:dyDescent="0.25">
      <c r="A34" t="str">
        <f t="shared" si="0"/>
        <v/>
      </c>
      <c r="J34" s="6"/>
      <c r="K34" s="6"/>
      <c r="L34" s="6"/>
    </row>
    <row r="35" spans="1:12" x14ac:dyDescent="0.25">
      <c r="A35" t="str">
        <f t="shared" si="0"/>
        <v/>
      </c>
      <c r="J35" s="6"/>
      <c r="K35" s="6"/>
      <c r="L35" s="6"/>
    </row>
    <row r="36" spans="1:12" x14ac:dyDescent="0.25">
      <c r="A36" t="str">
        <f t="shared" ref="A36:A67" si="1">IF(B36="","","CUS-2026-"&amp;TEXT(ROW()-3,"0000"))</f>
        <v/>
      </c>
      <c r="J36" s="6"/>
      <c r="K36" s="6"/>
      <c r="L36" s="6"/>
    </row>
    <row r="37" spans="1:12" x14ac:dyDescent="0.25">
      <c r="A37" t="str">
        <f t="shared" si="1"/>
        <v/>
      </c>
      <c r="J37" s="6"/>
      <c r="K37" s="6"/>
      <c r="L37" s="6"/>
    </row>
    <row r="38" spans="1:12" x14ac:dyDescent="0.25">
      <c r="A38" t="str">
        <f t="shared" si="1"/>
        <v/>
      </c>
      <c r="J38" s="6"/>
      <c r="K38" s="6"/>
      <c r="L38" s="6"/>
    </row>
    <row r="39" spans="1:12" x14ac:dyDescent="0.25">
      <c r="A39" t="str">
        <f t="shared" si="1"/>
        <v/>
      </c>
      <c r="J39" s="6"/>
      <c r="K39" s="6"/>
      <c r="L39" s="6"/>
    </row>
    <row r="40" spans="1:12" x14ac:dyDescent="0.25">
      <c r="A40" t="str">
        <f t="shared" si="1"/>
        <v/>
      </c>
      <c r="J40" s="6"/>
      <c r="K40" s="6"/>
      <c r="L40" s="6"/>
    </row>
    <row r="41" spans="1:12" x14ac:dyDescent="0.25">
      <c r="A41" t="str">
        <f t="shared" si="1"/>
        <v/>
      </c>
      <c r="J41" s="6"/>
      <c r="K41" s="6"/>
      <c r="L41" s="6"/>
    </row>
    <row r="42" spans="1:12" x14ac:dyDescent="0.25">
      <c r="A42" t="str">
        <f t="shared" si="1"/>
        <v/>
      </c>
      <c r="J42" s="6"/>
      <c r="K42" s="6"/>
      <c r="L42" s="6"/>
    </row>
    <row r="43" spans="1:12" x14ac:dyDescent="0.25">
      <c r="A43" t="str">
        <f t="shared" si="1"/>
        <v/>
      </c>
      <c r="J43" s="6"/>
      <c r="K43" s="6"/>
      <c r="L43" s="6"/>
    </row>
    <row r="44" spans="1:12" x14ac:dyDescent="0.25">
      <c r="A44" t="str">
        <f t="shared" si="1"/>
        <v/>
      </c>
      <c r="J44" s="6"/>
      <c r="K44" s="6"/>
      <c r="L44" s="6"/>
    </row>
    <row r="45" spans="1:12" x14ac:dyDescent="0.25">
      <c r="A45" t="str">
        <f t="shared" si="1"/>
        <v/>
      </c>
      <c r="J45" s="6"/>
      <c r="K45" s="6"/>
      <c r="L45" s="6"/>
    </row>
    <row r="46" spans="1:12" x14ac:dyDescent="0.25">
      <c r="A46" t="str">
        <f t="shared" si="1"/>
        <v/>
      </c>
      <c r="J46" s="6"/>
      <c r="K46" s="6"/>
      <c r="L46" s="6"/>
    </row>
    <row r="47" spans="1:12" x14ac:dyDescent="0.25">
      <c r="A47" t="str">
        <f t="shared" si="1"/>
        <v/>
      </c>
      <c r="J47" s="6"/>
      <c r="K47" s="6"/>
      <c r="L47" s="6"/>
    </row>
    <row r="48" spans="1:12" x14ac:dyDescent="0.25">
      <c r="A48" t="str">
        <f t="shared" si="1"/>
        <v/>
      </c>
      <c r="J48" s="6"/>
      <c r="K48" s="6"/>
      <c r="L48" s="6"/>
    </row>
    <row r="49" spans="1:12" x14ac:dyDescent="0.25">
      <c r="A49" t="str">
        <f t="shared" si="1"/>
        <v/>
      </c>
      <c r="J49" s="6"/>
      <c r="K49" s="6"/>
      <c r="L49" s="6"/>
    </row>
    <row r="50" spans="1:12" x14ac:dyDescent="0.25">
      <c r="A50" t="str">
        <f t="shared" si="1"/>
        <v/>
      </c>
      <c r="J50" s="6"/>
      <c r="K50" s="6"/>
      <c r="L50" s="6"/>
    </row>
    <row r="51" spans="1:12" x14ac:dyDescent="0.25">
      <c r="A51" t="str">
        <f t="shared" si="1"/>
        <v/>
      </c>
      <c r="J51" s="6"/>
      <c r="K51" s="6"/>
      <c r="L51" s="6"/>
    </row>
    <row r="52" spans="1:12" x14ac:dyDescent="0.25">
      <c r="A52" t="str">
        <f t="shared" si="1"/>
        <v/>
      </c>
      <c r="J52" s="6"/>
      <c r="K52" s="6"/>
      <c r="L52" s="6"/>
    </row>
    <row r="53" spans="1:12" x14ac:dyDescent="0.25">
      <c r="A53" t="str">
        <f t="shared" si="1"/>
        <v/>
      </c>
      <c r="J53" s="6"/>
      <c r="K53" s="6"/>
      <c r="L53" s="6"/>
    </row>
    <row r="54" spans="1:12" x14ac:dyDescent="0.25">
      <c r="A54" t="str">
        <f t="shared" si="1"/>
        <v/>
      </c>
      <c r="J54" s="6"/>
      <c r="K54" s="6"/>
      <c r="L54" s="6"/>
    </row>
    <row r="55" spans="1:12" x14ac:dyDescent="0.25">
      <c r="A55" t="str">
        <f t="shared" si="1"/>
        <v/>
      </c>
      <c r="J55" s="6"/>
      <c r="K55" s="6"/>
      <c r="L55" s="6"/>
    </row>
    <row r="56" spans="1:12" x14ac:dyDescent="0.25">
      <c r="A56" t="str">
        <f t="shared" si="1"/>
        <v/>
      </c>
      <c r="J56" s="6"/>
      <c r="K56" s="6"/>
      <c r="L56" s="6"/>
    </row>
    <row r="57" spans="1:12" x14ac:dyDescent="0.25">
      <c r="A57" t="str">
        <f t="shared" si="1"/>
        <v/>
      </c>
      <c r="J57" s="6"/>
      <c r="K57" s="6"/>
      <c r="L57" s="6"/>
    </row>
    <row r="58" spans="1:12" x14ac:dyDescent="0.25">
      <c r="A58" t="str">
        <f t="shared" si="1"/>
        <v/>
      </c>
      <c r="J58" s="6"/>
      <c r="K58" s="6"/>
      <c r="L58" s="6"/>
    </row>
    <row r="59" spans="1:12" x14ac:dyDescent="0.25">
      <c r="A59" t="str">
        <f t="shared" si="1"/>
        <v/>
      </c>
      <c r="J59" s="6"/>
      <c r="K59" s="6"/>
      <c r="L59" s="6"/>
    </row>
    <row r="60" spans="1:12" x14ac:dyDescent="0.25">
      <c r="A60" t="str">
        <f t="shared" si="1"/>
        <v/>
      </c>
      <c r="J60" s="6"/>
      <c r="K60" s="6"/>
      <c r="L60" s="6"/>
    </row>
    <row r="61" spans="1:12" x14ac:dyDescent="0.25">
      <c r="A61" t="str">
        <f t="shared" si="1"/>
        <v/>
      </c>
      <c r="J61" s="6"/>
      <c r="K61" s="6"/>
      <c r="L61" s="6"/>
    </row>
    <row r="62" spans="1:12" x14ac:dyDescent="0.25">
      <c r="A62" t="str">
        <f t="shared" si="1"/>
        <v/>
      </c>
      <c r="J62" s="6"/>
      <c r="K62" s="6"/>
      <c r="L62" s="6"/>
    </row>
    <row r="63" spans="1:12" x14ac:dyDescent="0.25">
      <c r="A63" t="str">
        <f t="shared" si="1"/>
        <v/>
      </c>
      <c r="J63" s="6"/>
      <c r="K63" s="6"/>
      <c r="L63" s="6"/>
    </row>
    <row r="64" spans="1:12" x14ac:dyDescent="0.25">
      <c r="A64" t="str">
        <f t="shared" si="1"/>
        <v/>
      </c>
      <c r="J64" s="6"/>
      <c r="K64" s="6"/>
      <c r="L64" s="6"/>
    </row>
    <row r="65" spans="1:12" x14ac:dyDescent="0.25">
      <c r="A65" t="str">
        <f t="shared" si="1"/>
        <v/>
      </c>
      <c r="J65" s="6"/>
      <c r="K65" s="6"/>
      <c r="L65" s="6"/>
    </row>
    <row r="66" spans="1:12" x14ac:dyDescent="0.25">
      <c r="A66" t="str">
        <f t="shared" si="1"/>
        <v/>
      </c>
      <c r="J66" s="6"/>
      <c r="K66" s="6"/>
      <c r="L66" s="6"/>
    </row>
    <row r="67" spans="1:12" x14ac:dyDescent="0.25">
      <c r="A67" t="str">
        <f t="shared" si="1"/>
        <v/>
      </c>
      <c r="J67" s="6"/>
      <c r="K67" s="6"/>
      <c r="L67" s="6"/>
    </row>
    <row r="68" spans="1:12" x14ac:dyDescent="0.25">
      <c r="A68" t="str">
        <f t="shared" ref="A68:A99" si="2">IF(B68="","","CUS-2026-"&amp;TEXT(ROW()-3,"0000"))</f>
        <v/>
      </c>
      <c r="J68" s="6"/>
      <c r="K68" s="6"/>
      <c r="L68" s="6"/>
    </row>
    <row r="69" spans="1:12" x14ac:dyDescent="0.25">
      <c r="A69" t="str">
        <f t="shared" si="2"/>
        <v/>
      </c>
      <c r="J69" s="6"/>
      <c r="K69" s="6"/>
      <c r="L69" s="6"/>
    </row>
    <row r="70" spans="1:12" x14ac:dyDescent="0.25">
      <c r="A70" t="str">
        <f t="shared" si="2"/>
        <v/>
      </c>
      <c r="J70" s="6"/>
      <c r="K70" s="6"/>
      <c r="L70" s="6"/>
    </row>
    <row r="71" spans="1:12" x14ac:dyDescent="0.25">
      <c r="A71" t="str">
        <f t="shared" si="2"/>
        <v/>
      </c>
      <c r="J71" s="6"/>
      <c r="K71" s="6"/>
      <c r="L71" s="6"/>
    </row>
    <row r="72" spans="1:12" x14ac:dyDescent="0.25">
      <c r="A72" t="str">
        <f t="shared" si="2"/>
        <v/>
      </c>
      <c r="J72" s="6"/>
      <c r="K72" s="6"/>
      <c r="L72" s="6"/>
    </row>
    <row r="73" spans="1:12" x14ac:dyDescent="0.25">
      <c r="A73" t="str">
        <f t="shared" si="2"/>
        <v/>
      </c>
      <c r="J73" s="6"/>
      <c r="K73" s="6"/>
      <c r="L73" s="6"/>
    </row>
    <row r="74" spans="1:12" x14ac:dyDescent="0.25">
      <c r="A74" t="str">
        <f t="shared" si="2"/>
        <v/>
      </c>
      <c r="J74" s="6"/>
      <c r="K74" s="6"/>
      <c r="L74" s="6"/>
    </row>
    <row r="75" spans="1:12" x14ac:dyDescent="0.25">
      <c r="A75" t="str">
        <f t="shared" si="2"/>
        <v/>
      </c>
      <c r="J75" s="6"/>
      <c r="K75" s="6"/>
      <c r="L75" s="6"/>
    </row>
    <row r="76" spans="1:12" x14ac:dyDescent="0.25">
      <c r="A76" t="str">
        <f t="shared" si="2"/>
        <v/>
      </c>
      <c r="J76" s="6"/>
      <c r="K76" s="6"/>
      <c r="L76" s="6"/>
    </row>
    <row r="77" spans="1:12" x14ac:dyDescent="0.25">
      <c r="A77" t="str">
        <f t="shared" si="2"/>
        <v/>
      </c>
      <c r="J77" s="6"/>
      <c r="K77" s="6"/>
      <c r="L77" s="6"/>
    </row>
    <row r="78" spans="1:12" x14ac:dyDescent="0.25">
      <c r="A78" t="str">
        <f t="shared" si="2"/>
        <v/>
      </c>
      <c r="J78" s="6"/>
      <c r="K78" s="6"/>
      <c r="L78" s="6"/>
    </row>
    <row r="79" spans="1:12" x14ac:dyDescent="0.25">
      <c r="A79" t="str">
        <f t="shared" si="2"/>
        <v/>
      </c>
      <c r="J79" s="6"/>
      <c r="K79" s="6"/>
      <c r="L79" s="6"/>
    </row>
    <row r="80" spans="1:12" x14ac:dyDescent="0.25">
      <c r="A80" t="str">
        <f t="shared" si="2"/>
        <v/>
      </c>
      <c r="J80" s="6"/>
      <c r="K80" s="6"/>
      <c r="L80" s="6"/>
    </row>
    <row r="81" spans="1:12" x14ac:dyDescent="0.25">
      <c r="A81" t="str">
        <f t="shared" si="2"/>
        <v/>
      </c>
      <c r="J81" s="6"/>
      <c r="K81" s="6"/>
      <c r="L81" s="6"/>
    </row>
    <row r="82" spans="1:12" x14ac:dyDescent="0.25">
      <c r="A82" t="str">
        <f t="shared" si="2"/>
        <v/>
      </c>
      <c r="J82" s="6"/>
      <c r="K82" s="6"/>
      <c r="L82" s="6"/>
    </row>
    <row r="83" spans="1:12" x14ac:dyDescent="0.25">
      <c r="A83" t="str">
        <f t="shared" si="2"/>
        <v/>
      </c>
      <c r="J83" s="6"/>
      <c r="K83" s="6"/>
      <c r="L83" s="6"/>
    </row>
    <row r="84" spans="1:12" x14ac:dyDescent="0.25">
      <c r="A84" t="str">
        <f t="shared" si="2"/>
        <v/>
      </c>
      <c r="J84" s="6"/>
      <c r="K84" s="6"/>
      <c r="L84" s="6"/>
    </row>
    <row r="85" spans="1:12" x14ac:dyDescent="0.25">
      <c r="A85" t="str">
        <f t="shared" si="2"/>
        <v/>
      </c>
      <c r="J85" s="6"/>
      <c r="K85" s="6"/>
      <c r="L85" s="6"/>
    </row>
    <row r="86" spans="1:12" x14ac:dyDescent="0.25">
      <c r="A86" t="str">
        <f t="shared" si="2"/>
        <v/>
      </c>
      <c r="J86" s="6"/>
      <c r="K86" s="6"/>
      <c r="L86" s="6"/>
    </row>
    <row r="87" spans="1:12" x14ac:dyDescent="0.25">
      <c r="A87" t="str">
        <f t="shared" si="2"/>
        <v/>
      </c>
      <c r="J87" s="6"/>
      <c r="K87" s="6"/>
      <c r="L87" s="6"/>
    </row>
    <row r="88" spans="1:12" x14ac:dyDescent="0.25">
      <c r="A88" t="str">
        <f t="shared" si="2"/>
        <v/>
      </c>
      <c r="J88" s="6"/>
      <c r="K88" s="6"/>
      <c r="L88" s="6"/>
    </row>
    <row r="89" spans="1:12" x14ac:dyDescent="0.25">
      <c r="A89" t="str">
        <f t="shared" si="2"/>
        <v/>
      </c>
      <c r="J89" s="6"/>
      <c r="K89" s="6"/>
      <c r="L89" s="6"/>
    </row>
    <row r="90" spans="1:12" x14ac:dyDescent="0.25">
      <c r="A90" t="str">
        <f t="shared" si="2"/>
        <v/>
      </c>
      <c r="J90" s="6"/>
      <c r="K90" s="6"/>
      <c r="L90" s="6"/>
    </row>
    <row r="91" spans="1:12" x14ac:dyDescent="0.25">
      <c r="A91" t="str">
        <f t="shared" si="2"/>
        <v/>
      </c>
      <c r="J91" s="6"/>
      <c r="K91" s="6"/>
      <c r="L91" s="6"/>
    </row>
    <row r="92" spans="1:12" x14ac:dyDescent="0.25">
      <c r="A92" t="str">
        <f t="shared" si="2"/>
        <v/>
      </c>
      <c r="J92" s="6"/>
      <c r="K92" s="6"/>
      <c r="L92" s="6"/>
    </row>
    <row r="93" spans="1:12" x14ac:dyDescent="0.25">
      <c r="A93" t="str">
        <f t="shared" si="2"/>
        <v/>
      </c>
      <c r="J93" s="6"/>
      <c r="K93" s="6"/>
      <c r="L93" s="6"/>
    </row>
    <row r="94" spans="1:12" x14ac:dyDescent="0.25">
      <c r="A94" t="str">
        <f t="shared" si="2"/>
        <v/>
      </c>
      <c r="J94" s="6"/>
      <c r="K94" s="6"/>
      <c r="L94" s="6"/>
    </row>
    <row r="95" spans="1:12" x14ac:dyDescent="0.25">
      <c r="A95" t="str">
        <f t="shared" si="2"/>
        <v/>
      </c>
      <c r="J95" s="6"/>
      <c r="K95" s="6"/>
      <c r="L95" s="6"/>
    </row>
    <row r="96" spans="1:12" x14ac:dyDescent="0.25">
      <c r="A96" t="str">
        <f t="shared" si="2"/>
        <v/>
      </c>
      <c r="J96" s="6"/>
      <c r="K96" s="6"/>
      <c r="L96" s="6"/>
    </row>
    <row r="97" spans="1:12" x14ac:dyDescent="0.25">
      <c r="A97" t="str">
        <f t="shared" si="2"/>
        <v/>
      </c>
      <c r="J97" s="6"/>
      <c r="K97" s="6"/>
      <c r="L97" s="6"/>
    </row>
    <row r="98" spans="1:12" x14ac:dyDescent="0.25">
      <c r="A98" t="str">
        <f t="shared" si="2"/>
        <v/>
      </c>
      <c r="J98" s="6"/>
      <c r="K98" s="6"/>
      <c r="L98" s="6"/>
    </row>
    <row r="99" spans="1:12" x14ac:dyDescent="0.25">
      <c r="A99" t="str">
        <f t="shared" si="2"/>
        <v/>
      </c>
      <c r="J99" s="6"/>
      <c r="K99" s="6"/>
      <c r="L99" s="6"/>
    </row>
    <row r="100" spans="1:12" x14ac:dyDescent="0.25">
      <c r="A100" t="str">
        <f t="shared" ref="A100:A131" si="3">IF(B100="","","CUS-2026-"&amp;TEXT(ROW()-3,"0000"))</f>
        <v/>
      </c>
      <c r="J100" s="6"/>
      <c r="K100" s="6"/>
      <c r="L100" s="6"/>
    </row>
    <row r="101" spans="1:12" x14ac:dyDescent="0.25">
      <c r="A101" t="str">
        <f t="shared" si="3"/>
        <v/>
      </c>
      <c r="J101" s="6"/>
      <c r="K101" s="6"/>
      <c r="L101" s="6"/>
    </row>
    <row r="102" spans="1:12" x14ac:dyDescent="0.25">
      <c r="A102" t="str">
        <f t="shared" si="3"/>
        <v/>
      </c>
      <c r="J102" s="6"/>
      <c r="K102" s="6"/>
      <c r="L102" s="6"/>
    </row>
    <row r="103" spans="1:12" x14ac:dyDescent="0.25">
      <c r="A103" t="str">
        <f t="shared" si="3"/>
        <v/>
      </c>
      <c r="J103" s="6"/>
      <c r="K103" s="6"/>
      <c r="L103" s="6"/>
    </row>
    <row r="104" spans="1:12" x14ac:dyDescent="0.25">
      <c r="A104" t="str">
        <f t="shared" si="3"/>
        <v/>
      </c>
      <c r="J104" s="6"/>
      <c r="K104" s="6"/>
      <c r="L104" s="6"/>
    </row>
    <row r="105" spans="1:12" x14ac:dyDescent="0.25">
      <c r="A105" t="str">
        <f t="shared" si="3"/>
        <v/>
      </c>
      <c r="J105" s="6"/>
      <c r="K105" s="6"/>
      <c r="L105" s="6"/>
    </row>
    <row r="106" spans="1:12" x14ac:dyDescent="0.25">
      <c r="A106" t="str">
        <f t="shared" si="3"/>
        <v/>
      </c>
      <c r="J106" s="6"/>
      <c r="K106" s="6"/>
      <c r="L106" s="6"/>
    </row>
    <row r="107" spans="1:12" x14ac:dyDescent="0.25">
      <c r="A107" t="str">
        <f t="shared" si="3"/>
        <v/>
      </c>
      <c r="J107" s="6"/>
      <c r="K107" s="6"/>
      <c r="L107" s="6"/>
    </row>
    <row r="108" spans="1:12" x14ac:dyDescent="0.25">
      <c r="A108" t="str">
        <f t="shared" si="3"/>
        <v/>
      </c>
      <c r="J108" s="6"/>
      <c r="K108" s="6"/>
      <c r="L108" s="6"/>
    </row>
    <row r="109" spans="1:12" x14ac:dyDescent="0.25">
      <c r="A109" t="str">
        <f t="shared" si="3"/>
        <v/>
      </c>
      <c r="J109" s="6"/>
      <c r="K109" s="6"/>
      <c r="L109" s="6"/>
    </row>
    <row r="110" spans="1:12" x14ac:dyDescent="0.25">
      <c r="A110" t="str">
        <f t="shared" si="3"/>
        <v/>
      </c>
      <c r="J110" s="6"/>
      <c r="K110" s="6"/>
      <c r="L110" s="6"/>
    </row>
    <row r="111" spans="1:12" x14ac:dyDescent="0.25">
      <c r="A111" t="str">
        <f t="shared" si="3"/>
        <v/>
      </c>
      <c r="J111" s="6"/>
      <c r="K111" s="6"/>
      <c r="L111" s="6"/>
    </row>
    <row r="112" spans="1:12" x14ac:dyDescent="0.25">
      <c r="A112" t="str">
        <f t="shared" si="3"/>
        <v/>
      </c>
      <c r="J112" s="6"/>
      <c r="K112" s="6"/>
      <c r="L112" s="6"/>
    </row>
    <row r="113" spans="1:12" x14ac:dyDescent="0.25">
      <c r="A113" t="str">
        <f t="shared" si="3"/>
        <v/>
      </c>
      <c r="J113" s="6"/>
      <c r="K113" s="6"/>
      <c r="L113" s="6"/>
    </row>
    <row r="114" spans="1:12" x14ac:dyDescent="0.25">
      <c r="A114" t="str">
        <f t="shared" si="3"/>
        <v/>
      </c>
      <c r="J114" s="6"/>
      <c r="K114" s="6"/>
      <c r="L114" s="6"/>
    </row>
    <row r="115" spans="1:12" x14ac:dyDescent="0.25">
      <c r="A115" t="str">
        <f t="shared" si="3"/>
        <v/>
      </c>
      <c r="J115" s="6"/>
      <c r="K115" s="6"/>
      <c r="L115" s="6"/>
    </row>
    <row r="116" spans="1:12" x14ac:dyDescent="0.25">
      <c r="A116" t="str">
        <f t="shared" si="3"/>
        <v/>
      </c>
      <c r="J116" s="6"/>
      <c r="K116" s="6"/>
      <c r="L116" s="6"/>
    </row>
    <row r="117" spans="1:12" x14ac:dyDescent="0.25">
      <c r="A117" t="str">
        <f t="shared" si="3"/>
        <v/>
      </c>
      <c r="J117" s="6"/>
      <c r="K117" s="6"/>
      <c r="L117" s="6"/>
    </row>
    <row r="118" spans="1:12" x14ac:dyDescent="0.25">
      <c r="A118" t="str">
        <f t="shared" si="3"/>
        <v/>
      </c>
      <c r="J118" s="6"/>
      <c r="K118" s="6"/>
      <c r="L118" s="6"/>
    </row>
    <row r="119" spans="1:12" x14ac:dyDescent="0.25">
      <c r="A119" t="str">
        <f t="shared" si="3"/>
        <v/>
      </c>
      <c r="J119" s="6"/>
      <c r="K119" s="6"/>
      <c r="L119" s="6"/>
    </row>
    <row r="120" spans="1:12" x14ac:dyDescent="0.25">
      <c r="A120" t="str">
        <f t="shared" si="3"/>
        <v/>
      </c>
      <c r="J120" s="6"/>
      <c r="K120" s="6"/>
      <c r="L120" s="6"/>
    </row>
    <row r="121" spans="1:12" x14ac:dyDescent="0.25">
      <c r="A121" t="str">
        <f t="shared" si="3"/>
        <v/>
      </c>
      <c r="J121" s="6"/>
      <c r="K121" s="6"/>
      <c r="L121" s="6"/>
    </row>
    <row r="122" spans="1:12" x14ac:dyDescent="0.25">
      <c r="A122" t="str">
        <f t="shared" si="3"/>
        <v/>
      </c>
      <c r="J122" s="6"/>
      <c r="K122" s="6"/>
      <c r="L122" s="6"/>
    </row>
    <row r="123" spans="1:12" x14ac:dyDescent="0.25">
      <c r="A123" t="str">
        <f t="shared" si="3"/>
        <v/>
      </c>
      <c r="J123" s="6"/>
      <c r="K123" s="6"/>
      <c r="L123" s="6"/>
    </row>
    <row r="124" spans="1:12" x14ac:dyDescent="0.25">
      <c r="A124" t="str">
        <f t="shared" si="3"/>
        <v/>
      </c>
      <c r="J124" s="6"/>
      <c r="K124" s="6"/>
      <c r="L124" s="6"/>
    </row>
    <row r="125" spans="1:12" x14ac:dyDescent="0.25">
      <c r="A125" t="str">
        <f t="shared" si="3"/>
        <v/>
      </c>
      <c r="J125" s="6"/>
      <c r="K125" s="6"/>
      <c r="L125" s="6"/>
    </row>
    <row r="126" spans="1:12" x14ac:dyDescent="0.25">
      <c r="A126" t="str">
        <f t="shared" si="3"/>
        <v/>
      </c>
      <c r="J126" s="6"/>
      <c r="K126" s="6"/>
      <c r="L126" s="6"/>
    </row>
    <row r="127" spans="1:12" x14ac:dyDescent="0.25">
      <c r="A127" t="str">
        <f t="shared" si="3"/>
        <v/>
      </c>
      <c r="J127" s="6"/>
      <c r="K127" s="6"/>
      <c r="L127" s="6"/>
    </row>
    <row r="128" spans="1:12" x14ac:dyDescent="0.25">
      <c r="A128" t="str">
        <f t="shared" si="3"/>
        <v/>
      </c>
      <c r="J128" s="6"/>
      <c r="K128" s="6"/>
      <c r="L128" s="6"/>
    </row>
    <row r="129" spans="1:12" x14ac:dyDescent="0.25">
      <c r="A129" t="str">
        <f t="shared" si="3"/>
        <v/>
      </c>
      <c r="J129" s="6"/>
      <c r="K129" s="6"/>
      <c r="L129" s="6"/>
    </row>
    <row r="130" spans="1:12" x14ac:dyDescent="0.25">
      <c r="A130" t="str">
        <f t="shared" si="3"/>
        <v/>
      </c>
      <c r="J130" s="6"/>
      <c r="K130" s="6"/>
      <c r="L130" s="6"/>
    </row>
    <row r="131" spans="1:12" x14ac:dyDescent="0.25">
      <c r="A131" t="str">
        <f t="shared" si="3"/>
        <v/>
      </c>
      <c r="J131" s="6"/>
      <c r="K131" s="6"/>
      <c r="L131" s="6"/>
    </row>
    <row r="132" spans="1:12" x14ac:dyDescent="0.25">
      <c r="A132" t="str">
        <f t="shared" ref="A132:A163" si="4">IF(B132="","","CUS-2026-"&amp;TEXT(ROW()-3,"0000"))</f>
        <v/>
      </c>
      <c r="J132" s="6"/>
      <c r="K132" s="6"/>
      <c r="L132" s="6"/>
    </row>
    <row r="133" spans="1:12" x14ac:dyDescent="0.25">
      <c r="A133" t="str">
        <f t="shared" si="4"/>
        <v/>
      </c>
      <c r="J133" s="6"/>
      <c r="K133" s="6"/>
      <c r="L133" s="6"/>
    </row>
    <row r="134" spans="1:12" x14ac:dyDescent="0.25">
      <c r="A134" t="str">
        <f t="shared" si="4"/>
        <v/>
      </c>
      <c r="J134" s="6"/>
      <c r="K134" s="6"/>
      <c r="L134" s="6"/>
    </row>
    <row r="135" spans="1:12" x14ac:dyDescent="0.25">
      <c r="A135" t="str">
        <f t="shared" si="4"/>
        <v/>
      </c>
      <c r="J135" s="6"/>
      <c r="K135" s="6"/>
      <c r="L135" s="6"/>
    </row>
    <row r="136" spans="1:12" x14ac:dyDescent="0.25">
      <c r="A136" t="str">
        <f t="shared" si="4"/>
        <v/>
      </c>
      <c r="J136" s="6"/>
      <c r="K136" s="6"/>
      <c r="L136" s="6"/>
    </row>
    <row r="137" spans="1:12" x14ac:dyDescent="0.25">
      <c r="A137" t="str">
        <f t="shared" si="4"/>
        <v/>
      </c>
      <c r="J137" s="6"/>
      <c r="K137" s="6"/>
      <c r="L137" s="6"/>
    </row>
    <row r="138" spans="1:12" x14ac:dyDescent="0.25">
      <c r="A138" t="str">
        <f t="shared" si="4"/>
        <v/>
      </c>
      <c r="J138" s="6"/>
      <c r="K138" s="6"/>
      <c r="L138" s="6"/>
    </row>
    <row r="139" spans="1:12" x14ac:dyDescent="0.25">
      <c r="A139" t="str">
        <f t="shared" si="4"/>
        <v/>
      </c>
      <c r="J139" s="6"/>
      <c r="K139" s="6"/>
      <c r="L139" s="6"/>
    </row>
    <row r="140" spans="1:12" x14ac:dyDescent="0.25">
      <c r="A140" t="str">
        <f t="shared" si="4"/>
        <v/>
      </c>
      <c r="J140" s="6"/>
      <c r="K140" s="6"/>
      <c r="L140" s="6"/>
    </row>
    <row r="141" spans="1:12" x14ac:dyDescent="0.25">
      <c r="A141" t="str">
        <f t="shared" si="4"/>
        <v/>
      </c>
      <c r="J141" s="6"/>
      <c r="K141" s="6"/>
      <c r="L141" s="6"/>
    </row>
    <row r="142" spans="1:12" x14ac:dyDescent="0.25">
      <c r="A142" t="str">
        <f t="shared" si="4"/>
        <v/>
      </c>
      <c r="J142" s="6"/>
      <c r="K142" s="6"/>
      <c r="L142" s="6"/>
    </row>
    <row r="143" spans="1:12" x14ac:dyDescent="0.25">
      <c r="A143" t="str">
        <f t="shared" si="4"/>
        <v/>
      </c>
      <c r="J143" s="6"/>
      <c r="K143" s="6"/>
      <c r="L143" s="6"/>
    </row>
    <row r="144" spans="1:12" x14ac:dyDescent="0.25">
      <c r="A144" t="str">
        <f t="shared" si="4"/>
        <v/>
      </c>
      <c r="J144" s="6"/>
      <c r="K144" s="6"/>
      <c r="L144" s="6"/>
    </row>
    <row r="145" spans="1:12" x14ac:dyDescent="0.25">
      <c r="A145" t="str">
        <f t="shared" si="4"/>
        <v/>
      </c>
      <c r="J145" s="6"/>
      <c r="K145" s="6"/>
      <c r="L145" s="6"/>
    </row>
    <row r="146" spans="1:12" x14ac:dyDescent="0.25">
      <c r="A146" t="str">
        <f t="shared" si="4"/>
        <v/>
      </c>
      <c r="J146" s="6"/>
      <c r="K146" s="6"/>
      <c r="L146" s="6"/>
    </row>
    <row r="147" spans="1:12" x14ac:dyDescent="0.25">
      <c r="A147" t="str">
        <f t="shared" si="4"/>
        <v/>
      </c>
      <c r="J147" s="6"/>
      <c r="K147" s="6"/>
      <c r="L147" s="6"/>
    </row>
    <row r="148" spans="1:12" x14ac:dyDescent="0.25">
      <c r="A148" t="str">
        <f t="shared" si="4"/>
        <v/>
      </c>
      <c r="J148" s="6"/>
      <c r="K148" s="6"/>
      <c r="L148" s="6"/>
    </row>
    <row r="149" spans="1:12" x14ac:dyDescent="0.25">
      <c r="A149" t="str">
        <f t="shared" si="4"/>
        <v/>
      </c>
      <c r="J149" s="6"/>
      <c r="K149" s="6"/>
      <c r="L149" s="6"/>
    </row>
    <row r="150" spans="1:12" x14ac:dyDescent="0.25">
      <c r="A150" t="str">
        <f t="shared" si="4"/>
        <v/>
      </c>
      <c r="J150" s="6"/>
      <c r="K150" s="6"/>
      <c r="L150" s="6"/>
    </row>
    <row r="151" spans="1:12" x14ac:dyDescent="0.25">
      <c r="A151" t="str">
        <f t="shared" si="4"/>
        <v/>
      </c>
      <c r="J151" s="6"/>
      <c r="K151" s="6"/>
      <c r="L151" s="6"/>
    </row>
    <row r="152" spans="1:12" x14ac:dyDescent="0.25">
      <c r="A152" t="str">
        <f t="shared" si="4"/>
        <v/>
      </c>
      <c r="J152" s="6"/>
      <c r="K152" s="6"/>
      <c r="L152" s="6"/>
    </row>
    <row r="153" spans="1:12" x14ac:dyDescent="0.25">
      <c r="A153" t="str">
        <f t="shared" si="4"/>
        <v/>
      </c>
      <c r="J153" s="6"/>
      <c r="K153" s="6"/>
      <c r="L153" s="6"/>
    </row>
    <row r="154" spans="1:12" x14ac:dyDescent="0.25">
      <c r="A154" t="str">
        <f t="shared" si="4"/>
        <v/>
      </c>
      <c r="J154" s="6"/>
      <c r="K154" s="6"/>
      <c r="L154" s="6"/>
    </row>
    <row r="155" spans="1:12" x14ac:dyDescent="0.25">
      <c r="A155" t="str">
        <f t="shared" si="4"/>
        <v/>
      </c>
      <c r="J155" s="6"/>
      <c r="K155" s="6"/>
      <c r="L155" s="6"/>
    </row>
    <row r="156" spans="1:12" x14ac:dyDescent="0.25">
      <c r="A156" t="str">
        <f t="shared" si="4"/>
        <v/>
      </c>
      <c r="J156" s="6"/>
      <c r="K156" s="6"/>
      <c r="L156" s="6"/>
    </row>
    <row r="157" spans="1:12" x14ac:dyDescent="0.25">
      <c r="A157" t="str">
        <f t="shared" si="4"/>
        <v/>
      </c>
      <c r="J157" s="6"/>
      <c r="K157" s="6"/>
      <c r="L157" s="6"/>
    </row>
    <row r="158" spans="1:12" x14ac:dyDescent="0.25">
      <c r="A158" t="str">
        <f t="shared" si="4"/>
        <v/>
      </c>
      <c r="J158" s="6"/>
      <c r="K158" s="6"/>
      <c r="L158" s="6"/>
    </row>
    <row r="159" spans="1:12" x14ac:dyDescent="0.25">
      <c r="A159" t="str">
        <f t="shared" si="4"/>
        <v/>
      </c>
      <c r="J159" s="6"/>
      <c r="K159" s="6"/>
      <c r="L159" s="6"/>
    </row>
    <row r="160" spans="1:12" x14ac:dyDescent="0.25">
      <c r="A160" t="str">
        <f t="shared" si="4"/>
        <v/>
      </c>
      <c r="J160" s="6"/>
      <c r="K160" s="6"/>
      <c r="L160" s="6"/>
    </row>
    <row r="161" spans="1:12" x14ac:dyDescent="0.25">
      <c r="A161" t="str">
        <f t="shared" si="4"/>
        <v/>
      </c>
      <c r="J161" s="6"/>
      <c r="K161" s="6"/>
      <c r="L161" s="6"/>
    </row>
    <row r="162" spans="1:12" x14ac:dyDescent="0.25">
      <c r="A162" t="str">
        <f t="shared" si="4"/>
        <v/>
      </c>
      <c r="J162" s="6"/>
      <c r="K162" s="6"/>
      <c r="L162" s="6"/>
    </row>
    <row r="163" spans="1:12" x14ac:dyDescent="0.25">
      <c r="A163" t="str">
        <f t="shared" si="4"/>
        <v/>
      </c>
      <c r="J163" s="6"/>
      <c r="K163" s="6"/>
      <c r="L163" s="6"/>
    </row>
    <row r="164" spans="1:12" x14ac:dyDescent="0.25">
      <c r="A164" t="str">
        <f t="shared" ref="A164:A195" si="5">IF(B164="","","CUS-2026-"&amp;TEXT(ROW()-3,"0000"))</f>
        <v/>
      </c>
      <c r="J164" s="6"/>
      <c r="K164" s="6"/>
      <c r="L164" s="6"/>
    </row>
    <row r="165" spans="1:12" x14ac:dyDescent="0.25">
      <c r="A165" t="str">
        <f t="shared" si="5"/>
        <v/>
      </c>
      <c r="J165" s="6"/>
      <c r="K165" s="6"/>
      <c r="L165" s="6"/>
    </row>
    <row r="166" spans="1:12" x14ac:dyDescent="0.25">
      <c r="A166" t="str">
        <f t="shared" si="5"/>
        <v/>
      </c>
      <c r="J166" s="6"/>
      <c r="K166" s="6"/>
      <c r="L166" s="6"/>
    </row>
    <row r="167" spans="1:12" x14ac:dyDescent="0.25">
      <c r="A167" t="str">
        <f t="shared" si="5"/>
        <v/>
      </c>
      <c r="J167" s="6"/>
      <c r="K167" s="6"/>
      <c r="L167" s="6"/>
    </row>
    <row r="168" spans="1:12" x14ac:dyDescent="0.25">
      <c r="A168" t="str">
        <f t="shared" si="5"/>
        <v/>
      </c>
      <c r="J168" s="6"/>
      <c r="K168" s="6"/>
      <c r="L168" s="6"/>
    </row>
    <row r="169" spans="1:12" x14ac:dyDescent="0.25">
      <c r="A169" t="str">
        <f t="shared" si="5"/>
        <v/>
      </c>
      <c r="J169" s="6"/>
      <c r="K169" s="6"/>
      <c r="L169" s="6"/>
    </row>
    <row r="170" spans="1:12" x14ac:dyDescent="0.25">
      <c r="A170" t="str">
        <f t="shared" si="5"/>
        <v/>
      </c>
      <c r="J170" s="6"/>
      <c r="K170" s="6"/>
      <c r="L170" s="6"/>
    </row>
    <row r="171" spans="1:12" x14ac:dyDescent="0.25">
      <c r="A171" t="str">
        <f t="shared" si="5"/>
        <v/>
      </c>
      <c r="J171" s="6"/>
      <c r="K171" s="6"/>
      <c r="L171" s="6"/>
    </row>
    <row r="172" spans="1:12" x14ac:dyDescent="0.25">
      <c r="A172" t="str">
        <f t="shared" si="5"/>
        <v/>
      </c>
      <c r="J172" s="6"/>
      <c r="K172" s="6"/>
      <c r="L172" s="6"/>
    </row>
    <row r="173" spans="1:12" x14ac:dyDescent="0.25">
      <c r="A173" t="str">
        <f t="shared" si="5"/>
        <v/>
      </c>
      <c r="J173" s="6"/>
      <c r="K173" s="6"/>
      <c r="L173" s="6"/>
    </row>
    <row r="174" spans="1:12" x14ac:dyDescent="0.25">
      <c r="A174" t="str">
        <f t="shared" si="5"/>
        <v/>
      </c>
      <c r="J174" s="6"/>
      <c r="K174" s="6"/>
      <c r="L174" s="6"/>
    </row>
    <row r="175" spans="1:12" x14ac:dyDescent="0.25">
      <c r="A175" t="str">
        <f t="shared" si="5"/>
        <v/>
      </c>
      <c r="J175" s="6"/>
      <c r="K175" s="6"/>
      <c r="L175" s="6"/>
    </row>
    <row r="176" spans="1:12" x14ac:dyDescent="0.25">
      <c r="A176" t="str">
        <f t="shared" si="5"/>
        <v/>
      </c>
      <c r="J176" s="6"/>
      <c r="K176" s="6"/>
      <c r="L176" s="6"/>
    </row>
    <row r="177" spans="1:12" x14ac:dyDescent="0.25">
      <c r="A177" t="str">
        <f t="shared" si="5"/>
        <v/>
      </c>
      <c r="J177" s="6"/>
      <c r="K177" s="6"/>
      <c r="L177" s="6"/>
    </row>
    <row r="178" spans="1:12" x14ac:dyDescent="0.25">
      <c r="A178" t="str">
        <f t="shared" si="5"/>
        <v/>
      </c>
      <c r="J178" s="6"/>
      <c r="K178" s="6"/>
      <c r="L178" s="6"/>
    </row>
    <row r="179" spans="1:12" x14ac:dyDescent="0.25">
      <c r="A179" t="str">
        <f t="shared" si="5"/>
        <v/>
      </c>
      <c r="J179" s="6"/>
      <c r="K179" s="6"/>
      <c r="L179" s="6"/>
    </row>
    <row r="180" spans="1:12" x14ac:dyDescent="0.25">
      <c r="A180" t="str">
        <f t="shared" si="5"/>
        <v/>
      </c>
      <c r="J180" s="6"/>
      <c r="K180" s="6"/>
      <c r="L180" s="6"/>
    </row>
    <row r="181" spans="1:12" x14ac:dyDescent="0.25">
      <c r="A181" t="str">
        <f t="shared" si="5"/>
        <v/>
      </c>
      <c r="J181" s="6"/>
      <c r="K181" s="6"/>
      <c r="L181" s="6"/>
    </row>
    <row r="182" spans="1:12" x14ac:dyDescent="0.25">
      <c r="A182" t="str">
        <f t="shared" si="5"/>
        <v/>
      </c>
      <c r="J182" s="6"/>
      <c r="K182" s="6"/>
      <c r="L182" s="6"/>
    </row>
    <row r="183" spans="1:12" x14ac:dyDescent="0.25">
      <c r="A183" t="str">
        <f t="shared" si="5"/>
        <v/>
      </c>
      <c r="J183" s="6"/>
      <c r="K183" s="6"/>
      <c r="L183" s="6"/>
    </row>
    <row r="184" spans="1:12" x14ac:dyDescent="0.25">
      <c r="A184" t="str">
        <f t="shared" si="5"/>
        <v/>
      </c>
      <c r="J184" s="6"/>
      <c r="K184" s="6"/>
      <c r="L184" s="6"/>
    </row>
    <row r="185" spans="1:12" x14ac:dyDescent="0.25">
      <c r="A185" t="str">
        <f t="shared" si="5"/>
        <v/>
      </c>
      <c r="J185" s="6"/>
      <c r="K185" s="6"/>
      <c r="L185" s="6"/>
    </row>
    <row r="186" spans="1:12" x14ac:dyDescent="0.25">
      <c r="A186" t="str">
        <f t="shared" si="5"/>
        <v/>
      </c>
      <c r="J186" s="6"/>
      <c r="K186" s="6"/>
      <c r="L186" s="6"/>
    </row>
    <row r="187" spans="1:12" x14ac:dyDescent="0.25">
      <c r="A187" t="str">
        <f t="shared" si="5"/>
        <v/>
      </c>
      <c r="J187" s="6"/>
      <c r="K187" s="6"/>
      <c r="L187" s="6"/>
    </row>
    <row r="188" spans="1:12" x14ac:dyDescent="0.25">
      <c r="A188" t="str">
        <f t="shared" si="5"/>
        <v/>
      </c>
      <c r="J188" s="6"/>
      <c r="K188" s="6"/>
      <c r="L188" s="6"/>
    </row>
    <row r="189" spans="1:12" x14ac:dyDescent="0.25">
      <c r="A189" t="str">
        <f t="shared" si="5"/>
        <v/>
      </c>
      <c r="J189" s="6"/>
      <c r="K189" s="6"/>
      <c r="L189" s="6"/>
    </row>
    <row r="190" spans="1:12" x14ac:dyDescent="0.25">
      <c r="A190" t="str">
        <f t="shared" si="5"/>
        <v/>
      </c>
      <c r="J190" s="6"/>
      <c r="K190" s="6"/>
      <c r="L190" s="6"/>
    </row>
    <row r="191" spans="1:12" x14ac:dyDescent="0.25">
      <c r="A191" t="str">
        <f t="shared" si="5"/>
        <v/>
      </c>
      <c r="J191" s="6"/>
      <c r="K191" s="6"/>
      <c r="L191" s="6"/>
    </row>
    <row r="192" spans="1:12" x14ac:dyDescent="0.25">
      <c r="A192" t="str">
        <f t="shared" si="5"/>
        <v/>
      </c>
      <c r="J192" s="6"/>
      <c r="K192" s="6"/>
      <c r="L192" s="6"/>
    </row>
    <row r="193" spans="1:12" x14ac:dyDescent="0.25">
      <c r="A193" t="str">
        <f t="shared" si="5"/>
        <v/>
      </c>
      <c r="J193" s="6"/>
      <c r="K193" s="6"/>
      <c r="L193" s="6"/>
    </row>
    <row r="194" spans="1:12" x14ac:dyDescent="0.25">
      <c r="A194" t="str">
        <f t="shared" si="5"/>
        <v/>
      </c>
      <c r="J194" s="6"/>
      <c r="K194" s="6"/>
      <c r="L194" s="6"/>
    </row>
    <row r="195" spans="1:12" x14ac:dyDescent="0.25">
      <c r="A195" t="str">
        <f t="shared" si="5"/>
        <v/>
      </c>
      <c r="J195" s="6"/>
      <c r="K195" s="6"/>
      <c r="L195" s="6"/>
    </row>
    <row r="196" spans="1:12" x14ac:dyDescent="0.25">
      <c r="A196" t="str">
        <f t="shared" ref="A196:A227" si="6">IF(B196="","","CUS-2026-"&amp;TEXT(ROW()-3,"0000"))</f>
        <v/>
      </c>
      <c r="J196" s="6"/>
      <c r="K196" s="6"/>
      <c r="L196" s="6"/>
    </row>
    <row r="197" spans="1:12" x14ac:dyDescent="0.25">
      <c r="A197" t="str">
        <f t="shared" si="6"/>
        <v/>
      </c>
      <c r="J197" s="6"/>
      <c r="K197" s="6"/>
      <c r="L197" s="6"/>
    </row>
    <row r="198" spans="1:12" x14ac:dyDescent="0.25">
      <c r="A198" t="str">
        <f t="shared" si="6"/>
        <v/>
      </c>
      <c r="J198" s="6"/>
      <c r="K198" s="6"/>
      <c r="L198" s="6"/>
    </row>
    <row r="199" spans="1:12" x14ac:dyDescent="0.25">
      <c r="A199" t="str">
        <f t="shared" si="6"/>
        <v/>
      </c>
      <c r="J199" s="6"/>
      <c r="K199" s="6"/>
      <c r="L199" s="6"/>
    </row>
    <row r="200" spans="1:12" x14ac:dyDescent="0.25">
      <c r="A200" t="str">
        <f t="shared" si="6"/>
        <v/>
      </c>
      <c r="J200" s="6"/>
      <c r="K200" s="6"/>
      <c r="L200" s="6"/>
    </row>
    <row r="201" spans="1:12" x14ac:dyDescent="0.25">
      <c r="A201" t="str">
        <f t="shared" si="6"/>
        <v/>
      </c>
      <c r="J201" s="6"/>
      <c r="K201" s="6"/>
      <c r="L201" s="6"/>
    </row>
    <row r="202" spans="1:12" x14ac:dyDescent="0.25">
      <c r="A202" t="str">
        <f t="shared" si="6"/>
        <v/>
      </c>
      <c r="J202" s="6"/>
      <c r="K202" s="6"/>
      <c r="L202" s="6"/>
    </row>
    <row r="203" spans="1:12" x14ac:dyDescent="0.25">
      <c r="A203" t="str">
        <f t="shared" si="6"/>
        <v/>
      </c>
      <c r="J203" s="6"/>
      <c r="K203" s="6"/>
      <c r="L203" s="6"/>
    </row>
  </sheetData>
  <autoFilter ref="A1:M203" xr:uid="{00000000-0009-0000-0000-000004000000}"/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3"/>
  <sheetViews>
    <sheetView showGridLines="0" workbookViewId="0">
      <pane ySplit="2" topLeftCell="A3" activePane="bottomLeft" state="frozen"/>
      <selection pane="bottomLeft" activeCell="A4" sqref="A4:K22"/>
    </sheetView>
  </sheetViews>
  <sheetFormatPr defaultRowHeight="15" x14ac:dyDescent="0.25"/>
  <cols>
    <col min="1" max="1" width="14" customWidth="1"/>
    <col min="2" max="2" width="24" customWidth="1"/>
    <col min="3" max="3" width="17" customWidth="1"/>
    <col min="4" max="6" width="10" customWidth="1"/>
    <col min="7" max="7" width="18" customWidth="1"/>
    <col min="8" max="8" width="12" customWidth="1"/>
    <col min="9" max="9" width="18" customWidth="1"/>
    <col min="10" max="11" width="16" customWidth="1"/>
  </cols>
  <sheetData>
    <row r="1" spans="1:11" ht="21" x14ac:dyDescent="0.35">
      <c r="A1" s="10" t="s">
        <v>147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3" spans="1:11" x14ac:dyDescent="0.25">
      <c r="A3" s="12" t="s">
        <v>148</v>
      </c>
      <c r="B3" s="12" t="s">
        <v>149</v>
      </c>
      <c r="C3" s="12" t="s">
        <v>143</v>
      </c>
      <c r="D3" s="12" t="s">
        <v>150</v>
      </c>
      <c r="E3" s="12" t="s">
        <v>151</v>
      </c>
      <c r="F3" s="12" t="s">
        <v>152</v>
      </c>
      <c r="G3" s="12" t="s">
        <v>153</v>
      </c>
      <c r="H3" s="12" t="s">
        <v>154</v>
      </c>
      <c r="I3" s="12" t="s">
        <v>155</v>
      </c>
      <c r="J3" s="12" t="s">
        <v>156</v>
      </c>
      <c r="K3" s="12" t="s">
        <v>157</v>
      </c>
    </row>
    <row r="4" spans="1:11" x14ac:dyDescent="0.25">
      <c r="A4" s="14" t="str">
        <f t="shared" ref="A4:A35" si="0">IF(B4="","","AG-"&amp;TEXT(ROW()-3,"000"))</f>
        <v/>
      </c>
      <c r="B4" s="14"/>
      <c r="C4" s="14"/>
      <c r="D4" s="14"/>
      <c r="E4" s="14"/>
      <c r="F4" s="14" t="str">
        <f>IF(B4="","",COUNTIF(PENJUALAN!J:J,B4))</f>
        <v/>
      </c>
      <c r="G4" s="15" t="str">
        <f>IF(B4="","",SUMIF(PENJUALAN!J:J,B4,PENJUALAN!F:F))</f>
        <v/>
      </c>
      <c r="H4" s="20"/>
      <c r="I4" s="15" t="str">
        <f t="shared" ref="I4:I35" si="1">IF(OR(G4="",H4=""),"",G4*H4)</f>
        <v/>
      </c>
      <c r="J4" s="15"/>
      <c r="K4" s="15" t="str">
        <f t="shared" ref="K4:K35" si="2">IF(I4="","",I4-J4)</f>
        <v/>
      </c>
    </row>
    <row r="5" spans="1:11" x14ac:dyDescent="0.25">
      <c r="A5" s="14" t="str">
        <f t="shared" si="0"/>
        <v/>
      </c>
      <c r="B5" s="14"/>
      <c r="C5" s="14"/>
      <c r="D5" s="14"/>
      <c r="E5" s="14"/>
      <c r="F5" s="14" t="str">
        <f>IF(B5="","",COUNTIF(PENJUALAN!J:J,B5))</f>
        <v/>
      </c>
      <c r="G5" s="15" t="str">
        <f>IF(B5="","",SUMIF(PENJUALAN!J:J,B5,PENJUALAN!F:F))</f>
        <v/>
      </c>
      <c r="H5" s="20"/>
      <c r="I5" s="15" t="str">
        <f t="shared" si="1"/>
        <v/>
      </c>
      <c r="J5" s="15"/>
      <c r="K5" s="15" t="str">
        <f t="shared" si="2"/>
        <v/>
      </c>
    </row>
    <row r="6" spans="1:11" x14ac:dyDescent="0.25">
      <c r="A6" s="14" t="str">
        <f t="shared" si="0"/>
        <v/>
      </c>
      <c r="B6" s="14"/>
      <c r="C6" s="14"/>
      <c r="D6" s="14"/>
      <c r="E6" s="14"/>
      <c r="F6" s="14" t="str">
        <f>IF(B6="","",COUNTIF(PENJUALAN!J:J,B6))</f>
        <v/>
      </c>
      <c r="G6" s="15" t="str">
        <f>IF(B6="","",SUMIF(PENJUALAN!J:J,B6,PENJUALAN!F:F))</f>
        <v/>
      </c>
      <c r="H6" s="20"/>
      <c r="I6" s="15" t="str">
        <f t="shared" si="1"/>
        <v/>
      </c>
      <c r="J6" s="15"/>
      <c r="K6" s="15" t="str">
        <f t="shared" si="2"/>
        <v/>
      </c>
    </row>
    <row r="7" spans="1:11" x14ac:dyDescent="0.25">
      <c r="A7" s="14" t="str">
        <f t="shared" si="0"/>
        <v/>
      </c>
      <c r="B7" s="14"/>
      <c r="C7" s="14"/>
      <c r="D7" s="14"/>
      <c r="E7" s="14"/>
      <c r="F7" s="14" t="str">
        <f>IF(B7="","",COUNTIF(PENJUALAN!J:J,B7))</f>
        <v/>
      </c>
      <c r="G7" s="15" t="str">
        <f>IF(B7="","",SUMIF(PENJUALAN!J:J,B7,PENJUALAN!F:F))</f>
        <v/>
      </c>
      <c r="H7" s="20"/>
      <c r="I7" s="15" t="str">
        <f t="shared" si="1"/>
        <v/>
      </c>
      <c r="J7" s="15"/>
      <c r="K7" s="15" t="str">
        <f t="shared" si="2"/>
        <v/>
      </c>
    </row>
    <row r="8" spans="1:11" x14ac:dyDescent="0.25">
      <c r="A8" s="14" t="str">
        <f t="shared" si="0"/>
        <v/>
      </c>
      <c r="B8" s="14"/>
      <c r="C8" s="14"/>
      <c r="D8" s="14"/>
      <c r="E8" s="14"/>
      <c r="F8" s="14" t="str">
        <f>IF(B8="","",COUNTIF(PENJUALAN!J:J,B8))</f>
        <v/>
      </c>
      <c r="G8" s="15" t="str">
        <f>IF(B8="","",SUMIF(PENJUALAN!J:J,B8,PENJUALAN!F:F))</f>
        <v/>
      </c>
      <c r="H8" s="20"/>
      <c r="I8" s="15" t="str">
        <f t="shared" si="1"/>
        <v/>
      </c>
      <c r="J8" s="15"/>
      <c r="K8" s="15" t="str">
        <f t="shared" si="2"/>
        <v/>
      </c>
    </row>
    <row r="9" spans="1:11" x14ac:dyDescent="0.25">
      <c r="A9" s="14" t="str">
        <f t="shared" si="0"/>
        <v/>
      </c>
      <c r="B9" s="14"/>
      <c r="C9" s="14"/>
      <c r="D9" s="14"/>
      <c r="E9" s="14"/>
      <c r="F9" s="14" t="str">
        <f>IF(B9="","",COUNTIF(PENJUALAN!J:J,B9))</f>
        <v/>
      </c>
      <c r="G9" s="15" t="str">
        <f>IF(B9="","",SUMIF(PENJUALAN!J:J,B9,PENJUALAN!F:F))</f>
        <v/>
      </c>
      <c r="H9" s="20"/>
      <c r="I9" s="15" t="str">
        <f t="shared" si="1"/>
        <v/>
      </c>
      <c r="J9" s="15"/>
      <c r="K9" s="15" t="str">
        <f t="shared" si="2"/>
        <v/>
      </c>
    </row>
    <row r="10" spans="1:11" x14ac:dyDescent="0.25">
      <c r="A10" s="14" t="str">
        <f t="shared" si="0"/>
        <v/>
      </c>
      <c r="B10" s="14"/>
      <c r="C10" s="14"/>
      <c r="D10" s="14"/>
      <c r="E10" s="14"/>
      <c r="F10" s="14" t="str">
        <f>IF(B10="","",COUNTIF(PENJUALAN!J:J,B10))</f>
        <v/>
      </c>
      <c r="G10" s="15" t="str">
        <f>IF(B10="","",SUMIF(PENJUALAN!J:J,B10,PENJUALAN!F:F))</f>
        <v/>
      </c>
      <c r="H10" s="20"/>
      <c r="I10" s="15" t="str">
        <f t="shared" si="1"/>
        <v/>
      </c>
      <c r="J10" s="15"/>
      <c r="K10" s="15" t="str">
        <f t="shared" si="2"/>
        <v/>
      </c>
    </row>
    <row r="11" spans="1:11" x14ac:dyDescent="0.25">
      <c r="A11" s="14" t="str">
        <f t="shared" si="0"/>
        <v/>
      </c>
      <c r="B11" s="14"/>
      <c r="C11" s="14"/>
      <c r="D11" s="14"/>
      <c r="E11" s="14"/>
      <c r="F11" s="14" t="str">
        <f>IF(B11="","",COUNTIF(PENJUALAN!J:J,B11))</f>
        <v/>
      </c>
      <c r="G11" s="15" t="str">
        <f>IF(B11="","",SUMIF(PENJUALAN!J:J,B11,PENJUALAN!F:F))</f>
        <v/>
      </c>
      <c r="H11" s="20"/>
      <c r="I11" s="15" t="str">
        <f t="shared" si="1"/>
        <v/>
      </c>
      <c r="J11" s="15"/>
      <c r="K11" s="15" t="str">
        <f t="shared" si="2"/>
        <v/>
      </c>
    </row>
    <row r="12" spans="1:11" x14ac:dyDescent="0.25">
      <c r="A12" s="14" t="str">
        <f t="shared" si="0"/>
        <v/>
      </c>
      <c r="B12" s="14"/>
      <c r="C12" s="14"/>
      <c r="D12" s="14"/>
      <c r="E12" s="14"/>
      <c r="F12" s="14" t="str">
        <f>IF(B12="","",COUNTIF(PENJUALAN!J:J,B12))</f>
        <v/>
      </c>
      <c r="G12" s="15" t="str">
        <f>IF(B12="","",SUMIF(PENJUALAN!J:J,B12,PENJUALAN!F:F))</f>
        <v/>
      </c>
      <c r="H12" s="20"/>
      <c r="I12" s="15" t="str">
        <f t="shared" si="1"/>
        <v/>
      </c>
      <c r="J12" s="15"/>
      <c r="K12" s="15" t="str">
        <f t="shared" si="2"/>
        <v/>
      </c>
    </row>
    <row r="13" spans="1:11" x14ac:dyDescent="0.25">
      <c r="A13" s="14" t="str">
        <f t="shared" si="0"/>
        <v/>
      </c>
      <c r="B13" s="14"/>
      <c r="C13" s="14"/>
      <c r="D13" s="14"/>
      <c r="E13" s="14"/>
      <c r="F13" s="14" t="str">
        <f>IF(B13="","",COUNTIF(PENJUALAN!J:J,B13))</f>
        <v/>
      </c>
      <c r="G13" s="15" t="str">
        <f>IF(B13="","",SUMIF(PENJUALAN!J:J,B13,PENJUALAN!F:F))</f>
        <v/>
      </c>
      <c r="H13" s="20"/>
      <c r="I13" s="15" t="str">
        <f t="shared" si="1"/>
        <v/>
      </c>
      <c r="J13" s="15"/>
      <c r="K13" s="15" t="str">
        <f t="shared" si="2"/>
        <v/>
      </c>
    </row>
    <row r="14" spans="1:11" x14ac:dyDescent="0.25">
      <c r="A14" s="14" t="str">
        <f t="shared" si="0"/>
        <v/>
      </c>
      <c r="B14" s="14"/>
      <c r="C14" s="14"/>
      <c r="D14" s="14"/>
      <c r="E14" s="14"/>
      <c r="F14" s="14" t="str">
        <f>IF(B14="","",COUNTIF(PENJUALAN!J:J,B14))</f>
        <v/>
      </c>
      <c r="G14" s="15" t="str">
        <f>IF(B14="","",SUMIF(PENJUALAN!J:J,B14,PENJUALAN!F:F))</f>
        <v/>
      </c>
      <c r="H14" s="20"/>
      <c r="I14" s="15" t="str">
        <f t="shared" si="1"/>
        <v/>
      </c>
      <c r="J14" s="15"/>
      <c r="K14" s="15" t="str">
        <f t="shared" si="2"/>
        <v/>
      </c>
    </row>
    <row r="15" spans="1:11" x14ac:dyDescent="0.25">
      <c r="A15" s="14" t="str">
        <f t="shared" si="0"/>
        <v/>
      </c>
      <c r="B15" s="14"/>
      <c r="C15" s="14"/>
      <c r="D15" s="14"/>
      <c r="E15" s="14"/>
      <c r="F15" s="14" t="str">
        <f>IF(B15="","",COUNTIF(PENJUALAN!J:J,B15))</f>
        <v/>
      </c>
      <c r="G15" s="15" t="str">
        <f>IF(B15="","",SUMIF(PENJUALAN!J:J,B15,PENJUALAN!F:F))</f>
        <v/>
      </c>
      <c r="H15" s="20"/>
      <c r="I15" s="15" t="str">
        <f t="shared" si="1"/>
        <v/>
      </c>
      <c r="J15" s="15"/>
      <c r="K15" s="15" t="str">
        <f t="shared" si="2"/>
        <v/>
      </c>
    </row>
    <row r="16" spans="1:11" x14ac:dyDescent="0.25">
      <c r="A16" s="14" t="str">
        <f t="shared" si="0"/>
        <v/>
      </c>
      <c r="B16" s="14"/>
      <c r="C16" s="14"/>
      <c r="D16" s="14"/>
      <c r="E16" s="14"/>
      <c r="F16" s="14" t="str">
        <f>IF(B16="","",COUNTIF(PENJUALAN!J:J,B16))</f>
        <v/>
      </c>
      <c r="G16" s="15" t="str">
        <f>IF(B16="","",SUMIF(PENJUALAN!J:J,B16,PENJUALAN!F:F))</f>
        <v/>
      </c>
      <c r="H16" s="20"/>
      <c r="I16" s="15" t="str">
        <f t="shared" si="1"/>
        <v/>
      </c>
      <c r="J16" s="15"/>
      <c r="K16" s="15" t="str">
        <f t="shared" si="2"/>
        <v/>
      </c>
    </row>
    <row r="17" spans="1:11" x14ac:dyDescent="0.25">
      <c r="A17" s="14" t="str">
        <f t="shared" si="0"/>
        <v/>
      </c>
      <c r="B17" s="14"/>
      <c r="C17" s="14"/>
      <c r="D17" s="14"/>
      <c r="E17" s="14"/>
      <c r="F17" s="14" t="str">
        <f>IF(B17="","",COUNTIF(PENJUALAN!J:J,B17))</f>
        <v/>
      </c>
      <c r="G17" s="15" t="str">
        <f>IF(B17="","",SUMIF(PENJUALAN!J:J,B17,PENJUALAN!F:F))</f>
        <v/>
      </c>
      <c r="H17" s="20"/>
      <c r="I17" s="15" t="str">
        <f t="shared" si="1"/>
        <v/>
      </c>
      <c r="J17" s="15"/>
      <c r="K17" s="15" t="str">
        <f t="shared" si="2"/>
        <v/>
      </c>
    </row>
    <row r="18" spans="1:11" x14ac:dyDescent="0.25">
      <c r="A18" s="14" t="str">
        <f t="shared" si="0"/>
        <v/>
      </c>
      <c r="B18" s="14"/>
      <c r="C18" s="14"/>
      <c r="D18" s="14"/>
      <c r="E18" s="14"/>
      <c r="F18" s="14" t="str">
        <f>IF(B18="","",COUNTIF(PENJUALAN!J:J,B18))</f>
        <v/>
      </c>
      <c r="G18" s="15" t="str">
        <f>IF(B18="","",SUMIF(PENJUALAN!J:J,B18,PENJUALAN!F:F))</f>
        <v/>
      </c>
      <c r="H18" s="20"/>
      <c r="I18" s="15" t="str">
        <f t="shared" si="1"/>
        <v/>
      </c>
      <c r="J18" s="15"/>
      <c r="K18" s="15" t="str">
        <f t="shared" si="2"/>
        <v/>
      </c>
    </row>
    <row r="19" spans="1:11" x14ac:dyDescent="0.25">
      <c r="A19" s="14" t="str">
        <f t="shared" si="0"/>
        <v/>
      </c>
      <c r="B19" s="14"/>
      <c r="C19" s="14"/>
      <c r="D19" s="14"/>
      <c r="E19" s="14"/>
      <c r="F19" s="14" t="str">
        <f>IF(B19="","",COUNTIF(PENJUALAN!J:J,B19))</f>
        <v/>
      </c>
      <c r="G19" s="15" t="str">
        <f>IF(B19="","",SUMIF(PENJUALAN!J:J,B19,PENJUALAN!F:F))</f>
        <v/>
      </c>
      <c r="H19" s="20"/>
      <c r="I19" s="15" t="str">
        <f t="shared" si="1"/>
        <v/>
      </c>
      <c r="J19" s="15"/>
      <c r="K19" s="15" t="str">
        <f t="shared" si="2"/>
        <v/>
      </c>
    </row>
    <row r="20" spans="1:11" x14ac:dyDescent="0.25">
      <c r="A20" s="14" t="str">
        <f t="shared" si="0"/>
        <v/>
      </c>
      <c r="B20" s="14"/>
      <c r="C20" s="14"/>
      <c r="D20" s="14"/>
      <c r="E20" s="14"/>
      <c r="F20" s="14" t="str">
        <f>IF(B20="","",COUNTIF(PENJUALAN!J:J,B20))</f>
        <v/>
      </c>
      <c r="G20" s="15" t="str">
        <f>IF(B20="","",SUMIF(PENJUALAN!J:J,B20,PENJUALAN!F:F))</f>
        <v/>
      </c>
      <c r="H20" s="20"/>
      <c r="I20" s="15" t="str">
        <f t="shared" si="1"/>
        <v/>
      </c>
      <c r="J20" s="15"/>
      <c r="K20" s="15" t="str">
        <f t="shared" si="2"/>
        <v/>
      </c>
    </row>
    <row r="21" spans="1:11" x14ac:dyDescent="0.25">
      <c r="A21" s="14" t="str">
        <f t="shared" si="0"/>
        <v/>
      </c>
      <c r="B21" s="14"/>
      <c r="C21" s="14"/>
      <c r="D21" s="14"/>
      <c r="E21" s="14"/>
      <c r="F21" s="14" t="str">
        <f>IF(B21="","",COUNTIF(PENJUALAN!J:J,B21))</f>
        <v/>
      </c>
      <c r="G21" s="15" t="str">
        <f>IF(B21="","",SUMIF(PENJUALAN!J:J,B21,PENJUALAN!F:F))</f>
        <v/>
      </c>
      <c r="H21" s="20"/>
      <c r="I21" s="15" t="str">
        <f t="shared" si="1"/>
        <v/>
      </c>
      <c r="J21" s="15"/>
      <c r="K21" s="15" t="str">
        <f t="shared" si="2"/>
        <v/>
      </c>
    </row>
    <row r="22" spans="1:11" x14ac:dyDescent="0.25">
      <c r="A22" s="14" t="str">
        <f t="shared" si="0"/>
        <v/>
      </c>
      <c r="B22" s="14"/>
      <c r="C22" s="14"/>
      <c r="D22" s="14"/>
      <c r="E22" s="14"/>
      <c r="F22" s="14" t="str">
        <f>IF(B22="","",COUNTIF(PENJUALAN!J:J,B22))</f>
        <v/>
      </c>
      <c r="G22" s="15" t="str">
        <f>IF(B22="","",SUMIF(PENJUALAN!J:J,B22,PENJUALAN!F:F))</f>
        <v/>
      </c>
      <c r="H22" s="20"/>
      <c r="I22" s="15" t="str">
        <f t="shared" si="1"/>
        <v/>
      </c>
      <c r="J22" s="15"/>
      <c r="K22" s="15" t="str">
        <f t="shared" si="2"/>
        <v/>
      </c>
    </row>
    <row r="23" spans="1:11" x14ac:dyDescent="0.25">
      <c r="A23" t="str">
        <f t="shared" si="0"/>
        <v/>
      </c>
      <c r="F23" t="str">
        <f>IF(B23="","",COUNTIF(PENJUALAN!J:J,B23))</f>
        <v/>
      </c>
      <c r="G23" s="6" t="str">
        <f>IF(B23="","",SUMIF(PENJUALAN!J:J,B23,PENJUALAN!F:F))</f>
        <v/>
      </c>
      <c r="H23" s="7"/>
      <c r="I23" s="6" t="str">
        <f t="shared" si="1"/>
        <v/>
      </c>
      <c r="J23" s="6"/>
      <c r="K23" s="6" t="str">
        <f t="shared" si="2"/>
        <v/>
      </c>
    </row>
    <row r="24" spans="1:11" x14ac:dyDescent="0.25">
      <c r="A24" t="str">
        <f t="shared" si="0"/>
        <v/>
      </c>
      <c r="F24" t="str">
        <f>IF(B24="","",COUNTIF(PENJUALAN!J:J,B24))</f>
        <v/>
      </c>
      <c r="G24" s="6" t="str">
        <f>IF(B24="","",SUMIF(PENJUALAN!J:J,B24,PENJUALAN!F:F))</f>
        <v/>
      </c>
      <c r="H24" s="7"/>
      <c r="I24" s="6" t="str">
        <f t="shared" si="1"/>
        <v/>
      </c>
      <c r="J24" s="6"/>
      <c r="K24" s="6" t="str">
        <f t="shared" si="2"/>
        <v/>
      </c>
    </row>
    <row r="25" spans="1:11" x14ac:dyDescent="0.25">
      <c r="A25" t="str">
        <f t="shared" si="0"/>
        <v/>
      </c>
      <c r="F25" t="str">
        <f>IF(B25="","",COUNTIF(PENJUALAN!J:J,B25))</f>
        <v/>
      </c>
      <c r="G25" s="6" t="str">
        <f>IF(B25="","",SUMIF(PENJUALAN!J:J,B25,PENJUALAN!F:F))</f>
        <v/>
      </c>
      <c r="H25" s="7"/>
      <c r="I25" s="6" t="str">
        <f t="shared" si="1"/>
        <v/>
      </c>
      <c r="J25" s="6"/>
      <c r="K25" s="6" t="str">
        <f t="shared" si="2"/>
        <v/>
      </c>
    </row>
    <row r="26" spans="1:11" x14ac:dyDescent="0.25">
      <c r="A26" t="str">
        <f t="shared" si="0"/>
        <v/>
      </c>
      <c r="F26" t="str">
        <f>IF(B26="","",COUNTIF(PENJUALAN!J:J,B26))</f>
        <v/>
      </c>
      <c r="G26" s="6" t="str">
        <f>IF(B26="","",SUMIF(PENJUALAN!J:J,B26,PENJUALAN!F:F))</f>
        <v/>
      </c>
      <c r="H26" s="7"/>
      <c r="I26" s="6" t="str">
        <f t="shared" si="1"/>
        <v/>
      </c>
      <c r="J26" s="6"/>
      <c r="K26" s="6" t="str">
        <f t="shared" si="2"/>
        <v/>
      </c>
    </row>
    <row r="27" spans="1:11" x14ac:dyDescent="0.25">
      <c r="A27" t="str">
        <f t="shared" si="0"/>
        <v/>
      </c>
      <c r="F27" t="str">
        <f>IF(B27="","",COUNTIF(PENJUALAN!J:J,B27))</f>
        <v/>
      </c>
      <c r="G27" s="6" t="str">
        <f>IF(B27="","",SUMIF(PENJUALAN!J:J,B27,PENJUALAN!F:F))</f>
        <v/>
      </c>
      <c r="H27" s="7"/>
      <c r="I27" s="6" t="str">
        <f t="shared" si="1"/>
        <v/>
      </c>
      <c r="J27" s="6"/>
      <c r="K27" s="6" t="str">
        <f t="shared" si="2"/>
        <v/>
      </c>
    </row>
    <row r="28" spans="1:11" x14ac:dyDescent="0.25">
      <c r="A28" t="str">
        <f t="shared" si="0"/>
        <v/>
      </c>
      <c r="F28" t="str">
        <f>IF(B28="","",COUNTIF(PENJUALAN!J:J,B28))</f>
        <v/>
      </c>
      <c r="G28" s="6" t="str">
        <f>IF(B28="","",SUMIF(PENJUALAN!J:J,B28,PENJUALAN!F:F))</f>
        <v/>
      </c>
      <c r="H28" s="7"/>
      <c r="I28" s="6" t="str">
        <f t="shared" si="1"/>
        <v/>
      </c>
      <c r="J28" s="6"/>
      <c r="K28" s="6" t="str">
        <f t="shared" si="2"/>
        <v/>
      </c>
    </row>
    <row r="29" spans="1:11" x14ac:dyDescent="0.25">
      <c r="A29" t="str">
        <f t="shared" si="0"/>
        <v/>
      </c>
      <c r="F29" t="str">
        <f>IF(B29="","",COUNTIF(PENJUALAN!J:J,B29))</f>
        <v/>
      </c>
      <c r="G29" s="6" t="str">
        <f>IF(B29="","",SUMIF(PENJUALAN!J:J,B29,PENJUALAN!F:F))</f>
        <v/>
      </c>
      <c r="H29" s="7"/>
      <c r="I29" s="6" t="str">
        <f t="shared" si="1"/>
        <v/>
      </c>
      <c r="J29" s="6"/>
      <c r="K29" s="6" t="str">
        <f t="shared" si="2"/>
        <v/>
      </c>
    </row>
    <row r="30" spans="1:11" x14ac:dyDescent="0.25">
      <c r="A30" t="str">
        <f t="shared" si="0"/>
        <v/>
      </c>
      <c r="F30" t="str">
        <f>IF(B30="","",COUNTIF(PENJUALAN!J:J,B30))</f>
        <v/>
      </c>
      <c r="G30" s="6" t="str">
        <f>IF(B30="","",SUMIF(PENJUALAN!J:J,B30,PENJUALAN!F:F))</f>
        <v/>
      </c>
      <c r="H30" s="7"/>
      <c r="I30" s="6" t="str">
        <f t="shared" si="1"/>
        <v/>
      </c>
      <c r="J30" s="6"/>
      <c r="K30" s="6" t="str">
        <f t="shared" si="2"/>
        <v/>
      </c>
    </row>
    <row r="31" spans="1:11" x14ac:dyDescent="0.25">
      <c r="A31" t="str">
        <f t="shared" si="0"/>
        <v/>
      </c>
      <c r="F31" t="str">
        <f>IF(B31="","",COUNTIF(PENJUALAN!J:J,B31))</f>
        <v/>
      </c>
      <c r="G31" s="6" t="str">
        <f>IF(B31="","",SUMIF(PENJUALAN!J:J,B31,PENJUALAN!F:F))</f>
        <v/>
      </c>
      <c r="H31" s="7"/>
      <c r="I31" s="6" t="str">
        <f t="shared" si="1"/>
        <v/>
      </c>
      <c r="J31" s="6"/>
      <c r="K31" s="6" t="str">
        <f t="shared" si="2"/>
        <v/>
      </c>
    </row>
    <row r="32" spans="1:11" x14ac:dyDescent="0.25">
      <c r="A32" t="str">
        <f t="shared" si="0"/>
        <v/>
      </c>
      <c r="F32" t="str">
        <f>IF(B32="","",COUNTIF(PENJUALAN!J:J,B32))</f>
        <v/>
      </c>
      <c r="G32" s="6" t="str">
        <f>IF(B32="","",SUMIF(PENJUALAN!J:J,B32,PENJUALAN!F:F))</f>
        <v/>
      </c>
      <c r="H32" s="7"/>
      <c r="I32" s="6" t="str">
        <f t="shared" si="1"/>
        <v/>
      </c>
      <c r="J32" s="6"/>
      <c r="K32" s="6" t="str">
        <f t="shared" si="2"/>
        <v/>
      </c>
    </row>
    <row r="33" spans="1:11" x14ac:dyDescent="0.25">
      <c r="A33" t="str">
        <f t="shared" si="0"/>
        <v/>
      </c>
      <c r="F33" t="str">
        <f>IF(B33="","",COUNTIF(PENJUALAN!J:J,B33))</f>
        <v/>
      </c>
      <c r="G33" s="6" t="str">
        <f>IF(B33="","",SUMIF(PENJUALAN!J:J,B33,PENJUALAN!F:F))</f>
        <v/>
      </c>
      <c r="H33" s="7"/>
      <c r="I33" s="6" t="str">
        <f t="shared" si="1"/>
        <v/>
      </c>
      <c r="J33" s="6"/>
      <c r="K33" s="6" t="str">
        <f t="shared" si="2"/>
        <v/>
      </c>
    </row>
    <row r="34" spans="1:11" x14ac:dyDescent="0.25">
      <c r="A34" t="str">
        <f t="shared" si="0"/>
        <v/>
      </c>
      <c r="F34" t="str">
        <f>IF(B34="","",COUNTIF(PENJUALAN!J:J,B34))</f>
        <v/>
      </c>
      <c r="G34" s="6" t="str">
        <f>IF(B34="","",SUMIF(PENJUALAN!J:J,B34,PENJUALAN!F:F))</f>
        <v/>
      </c>
      <c r="H34" s="7"/>
      <c r="I34" s="6" t="str">
        <f t="shared" si="1"/>
        <v/>
      </c>
      <c r="J34" s="6"/>
      <c r="K34" s="6" t="str">
        <f t="shared" si="2"/>
        <v/>
      </c>
    </row>
    <row r="35" spans="1:11" x14ac:dyDescent="0.25">
      <c r="A35" t="str">
        <f t="shared" si="0"/>
        <v/>
      </c>
      <c r="F35" t="str">
        <f>IF(B35="","",COUNTIF(PENJUALAN!J:J,B35))</f>
        <v/>
      </c>
      <c r="G35" s="6" t="str">
        <f>IF(B35="","",SUMIF(PENJUALAN!J:J,B35,PENJUALAN!F:F))</f>
        <v/>
      </c>
      <c r="H35" s="7"/>
      <c r="I35" s="6" t="str">
        <f t="shared" si="1"/>
        <v/>
      </c>
      <c r="J35" s="6"/>
      <c r="K35" s="6" t="str">
        <f t="shared" si="2"/>
        <v/>
      </c>
    </row>
    <row r="36" spans="1:11" x14ac:dyDescent="0.25">
      <c r="A36" t="str">
        <f t="shared" ref="A36:A67" si="3">IF(B36="","","AG-"&amp;TEXT(ROW()-3,"000"))</f>
        <v/>
      </c>
      <c r="F36" t="str">
        <f>IF(B36="","",COUNTIF(PENJUALAN!J:J,B36))</f>
        <v/>
      </c>
      <c r="G36" s="6" t="str">
        <f>IF(B36="","",SUMIF(PENJUALAN!J:J,B36,PENJUALAN!F:F))</f>
        <v/>
      </c>
      <c r="H36" s="7"/>
      <c r="I36" s="6" t="str">
        <f t="shared" ref="I36:I67" si="4">IF(OR(G36="",H36=""),"",G36*H36)</f>
        <v/>
      </c>
      <c r="J36" s="6"/>
      <c r="K36" s="6" t="str">
        <f t="shared" ref="K36:K67" si="5">IF(I36="","",I36-J36)</f>
        <v/>
      </c>
    </row>
    <row r="37" spans="1:11" x14ac:dyDescent="0.25">
      <c r="A37" t="str">
        <f t="shared" si="3"/>
        <v/>
      </c>
      <c r="F37" t="str">
        <f>IF(B37="","",COUNTIF(PENJUALAN!J:J,B37))</f>
        <v/>
      </c>
      <c r="G37" s="6" t="str">
        <f>IF(B37="","",SUMIF(PENJUALAN!J:J,B37,PENJUALAN!F:F))</f>
        <v/>
      </c>
      <c r="H37" s="7"/>
      <c r="I37" s="6" t="str">
        <f t="shared" si="4"/>
        <v/>
      </c>
      <c r="J37" s="6"/>
      <c r="K37" s="6" t="str">
        <f t="shared" si="5"/>
        <v/>
      </c>
    </row>
    <row r="38" spans="1:11" x14ac:dyDescent="0.25">
      <c r="A38" t="str">
        <f t="shared" si="3"/>
        <v/>
      </c>
      <c r="F38" t="str">
        <f>IF(B38="","",COUNTIF(PENJUALAN!J:J,B38))</f>
        <v/>
      </c>
      <c r="G38" s="6" t="str">
        <f>IF(B38="","",SUMIF(PENJUALAN!J:J,B38,PENJUALAN!F:F))</f>
        <v/>
      </c>
      <c r="H38" s="7"/>
      <c r="I38" s="6" t="str">
        <f t="shared" si="4"/>
        <v/>
      </c>
      <c r="J38" s="6"/>
      <c r="K38" s="6" t="str">
        <f t="shared" si="5"/>
        <v/>
      </c>
    </row>
    <row r="39" spans="1:11" x14ac:dyDescent="0.25">
      <c r="A39" t="str">
        <f t="shared" si="3"/>
        <v/>
      </c>
      <c r="F39" t="str">
        <f>IF(B39="","",COUNTIF(PENJUALAN!J:J,B39))</f>
        <v/>
      </c>
      <c r="G39" s="6" t="str">
        <f>IF(B39="","",SUMIF(PENJUALAN!J:J,B39,PENJUALAN!F:F))</f>
        <v/>
      </c>
      <c r="H39" s="7"/>
      <c r="I39" s="6" t="str">
        <f t="shared" si="4"/>
        <v/>
      </c>
      <c r="J39" s="6"/>
      <c r="K39" s="6" t="str">
        <f t="shared" si="5"/>
        <v/>
      </c>
    </row>
    <row r="40" spans="1:11" x14ac:dyDescent="0.25">
      <c r="A40" t="str">
        <f t="shared" si="3"/>
        <v/>
      </c>
      <c r="F40" t="str">
        <f>IF(B40="","",COUNTIF(PENJUALAN!J:J,B40))</f>
        <v/>
      </c>
      <c r="G40" s="6" t="str">
        <f>IF(B40="","",SUMIF(PENJUALAN!J:J,B40,PENJUALAN!F:F))</f>
        <v/>
      </c>
      <c r="H40" s="7"/>
      <c r="I40" s="6" t="str">
        <f t="shared" si="4"/>
        <v/>
      </c>
      <c r="J40" s="6"/>
      <c r="K40" s="6" t="str">
        <f t="shared" si="5"/>
        <v/>
      </c>
    </row>
    <row r="41" spans="1:11" x14ac:dyDescent="0.25">
      <c r="A41" t="str">
        <f t="shared" si="3"/>
        <v/>
      </c>
      <c r="F41" t="str">
        <f>IF(B41="","",COUNTIF(PENJUALAN!J:J,B41))</f>
        <v/>
      </c>
      <c r="G41" s="6" t="str">
        <f>IF(B41="","",SUMIF(PENJUALAN!J:J,B41,PENJUALAN!F:F))</f>
        <v/>
      </c>
      <c r="H41" s="7"/>
      <c r="I41" s="6" t="str">
        <f t="shared" si="4"/>
        <v/>
      </c>
      <c r="J41" s="6"/>
      <c r="K41" s="6" t="str">
        <f t="shared" si="5"/>
        <v/>
      </c>
    </row>
    <row r="42" spans="1:11" x14ac:dyDescent="0.25">
      <c r="A42" t="str">
        <f t="shared" si="3"/>
        <v/>
      </c>
      <c r="F42" t="str">
        <f>IF(B42="","",COUNTIF(PENJUALAN!J:J,B42))</f>
        <v/>
      </c>
      <c r="G42" s="6" t="str">
        <f>IF(B42="","",SUMIF(PENJUALAN!J:J,B42,PENJUALAN!F:F))</f>
        <v/>
      </c>
      <c r="H42" s="7"/>
      <c r="I42" s="6" t="str">
        <f t="shared" si="4"/>
        <v/>
      </c>
      <c r="J42" s="6"/>
      <c r="K42" s="6" t="str">
        <f t="shared" si="5"/>
        <v/>
      </c>
    </row>
    <row r="43" spans="1:11" x14ac:dyDescent="0.25">
      <c r="A43" t="str">
        <f t="shared" si="3"/>
        <v/>
      </c>
      <c r="F43" t="str">
        <f>IF(B43="","",COUNTIF(PENJUALAN!J:J,B43))</f>
        <v/>
      </c>
      <c r="G43" s="6" t="str">
        <f>IF(B43="","",SUMIF(PENJUALAN!J:J,B43,PENJUALAN!F:F))</f>
        <v/>
      </c>
      <c r="H43" s="7"/>
      <c r="I43" s="6" t="str">
        <f t="shared" si="4"/>
        <v/>
      </c>
      <c r="J43" s="6"/>
      <c r="K43" s="6" t="str">
        <f t="shared" si="5"/>
        <v/>
      </c>
    </row>
    <row r="44" spans="1:11" x14ac:dyDescent="0.25">
      <c r="A44" t="str">
        <f t="shared" si="3"/>
        <v/>
      </c>
      <c r="F44" t="str">
        <f>IF(B44="","",COUNTIF(PENJUALAN!J:J,B44))</f>
        <v/>
      </c>
      <c r="G44" s="6" t="str">
        <f>IF(B44="","",SUMIF(PENJUALAN!J:J,B44,PENJUALAN!F:F))</f>
        <v/>
      </c>
      <c r="H44" s="7"/>
      <c r="I44" s="6" t="str">
        <f t="shared" si="4"/>
        <v/>
      </c>
      <c r="J44" s="6"/>
      <c r="K44" s="6" t="str">
        <f t="shared" si="5"/>
        <v/>
      </c>
    </row>
    <row r="45" spans="1:11" x14ac:dyDescent="0.25">
      <c r="A45" t="str">
        <f t="shared" si="3"/>
        <v/>
      </c>
      <c r="F45" t="str">
        <f>IF(B45="","",COUNTIF(PENJUALAN!J:J,B45))</f>
        <v/>
      </c>
      <c r="G45" s="6" t="str">
        <f>IF(B45="","",SUMIF(PENJUALAN!J:J,B45,PENJUALAN!F:F))</f>
        <v/>
      </c>
      <c r="H45" s="7"/>
      <c r="I45" s="6" t="str">
        <f t="shared" si="4"/>
        <v/>
      </c>
      <c r="J45" s="6"/>
      <c r="K45" s="6" t="str">
        <f t="shared" si="5"/>
        <v/>
      </c>
    </row>
    <row r="46" spans="1:11" x14ac:dyDescent="0.25">
      <c r="A46" t="str">
        <f t="shared" si="3"/>
        <v/>
      </c>
      <c r="F46" t="str">
        <f>IF(B46="","",COUNTIF(PENJUALAN!J:J,B46))</f>
        <v/>
      </c>
      <c r="G46" s="6" t="str">
        <f>IF(B46="","",SUMIF(PENJUALAN!J:J,B46,PENJUALAN!F:F))</f>
        <v/>
      </c>
      <c r="H46" s="7"/>
      <c r="I46" s="6" t="str">
        <f t="shared" si="4"/>
        <v/>
      </c>
      <c r="J46" s="6"/>
      <c r="K46" s="6" t="str">
        <f t="shared" si="5"/>
        <v/>
      </c>
    </row>
    <row r="47" spans="1:11" x14ac:dyDescent="0.25">
      <c r="A47" t="str">
        <f t="shared" si="3"/>
        <v/>
      </c>
      <c r="F47" t="str">
        <f>IF(B47="","",COUNTIF(PENJUALAN!J:J,B47))</f>
        <v/>
      </c>
      <c r="G47" s="6" t="str">
        <f>IF(B47="","",SUMIF(PENJUALAN!J:J,B47,PENJUALAN!F:F))</f>
        <v/>
      </c>
      <c r="H47" s="7"/>
      <c r="I47" s="6" t="str">
        <f t="shared" si="4"/>
        <v/>
      </c>
      <c r="J47" s="6"/>
      <c r="K47" s="6" t="str">
        <f t="shared" si="5"/>
        <v/>
      </c>
    </row>
    <row r="48" spans="1:11" x14ac:dyDescent="0.25">
      <c r="A48" t="str">
        <f t="shared" si="3"/>
        <v/>
      </c>
      <c r="F48" t="str">
        <f>IF(B48="","",COUNTIF(PENJUALAN!J:J,B48))</f>
        <v/>
      </c>
      <c r="G48" s="6" t="str">
        <f>IF(B48="","",SUMIF(PENJUALAN!J:J,B48,PENJUALAN!F:F))</f>
        <v/>
      </c>
      <c r="H48" s="7"/>
      <c r="I48" s="6" t="str">
        <f t="shared" si="4"/>
        <v/>
      </c>
      <c r="J48" s="6"/>
      <c r="K48" s="6" t="str">
        <f t="shared" si="5"/>
        <v/>
      </c>
    </row>
    <row r="49" spans="1:11" x14ac:dyDescent="0.25">
      <c r="A49" t="str">
        <f t="shared" si="3"/>
        <v/>
      </c>
      <c r="F49" t="str">
        <f>IF(B49="","",COUNTIF(PENJUALAN!J:J,B49))</f>
        <v/>
      </c>
      <c r="G49" s="6" t="str">
        <f>IF(B49="","",SUMIF(PENJUALAN!J:J,B49,PENJUALAN!F:F))</f>
        <v/>
      </c>
      <c r="H49" s="7"/>
      <c r="I49" s="6" t="str">
        <f t="shared" si="4"/>
        <v/>
      </c>
      <c r="J49" s="6"/>
      <c r="K49" s="6" t="str">
        <f t="shared" si="5"/>
        <v/>
      </c>
    </row>
    <row r="50" spans="1:11" x14ac:dyDescent="0.25">
      <c r="A50" t="str">
        <f t="shared" si="3"/>
        <v/>
      </c>
      <c r="F50" t="str">
        <f>IF(B50="","",COUNTIF(PENJUALAN!J:J,B50))</f>
        <v/>
      </c>
      <c r="G50" s="6" t="str">
        <f>IF(B50="","",SUMIF(PENJUALAN!J:J,B50,PENJUALAN!F:F))</f>
        <v/>
      </c>
      <c r="H50" s="7"/>
      <c r="I50" s="6" t="str">
        <f t="shared" si="4"/>
        <v/>
      </c>
      <c r="J50" s="6"/>
      <c r="K50" s="6" t="str">
        <f t="shared" si="5"/>
        <v/>
      </c>
    </row>
    <row r="51" spans="1:11" x14ac:dyDescent="0.25">
      <c r="A51" t="str">
        <f t="shared" si="3"/>
        <v/>
      </c>
      <c r="F51" t="str">
        <f>IF(B51="","",COUNTIF(PENJUALAN!J:J,B51))</f>
        <v/>
      </c>
      <c r="G51" s="6" t="str">
        <f>IF(B51="","",SUMIF(PENJUALAN!J:J,B51,PENJUALAN!F:F))</f>
        <v/>
      </c>
      <c r="H51" s="7"/>
      <c r="I51" s="6" t="str">
        <f t="shared" si="4"/>
        <v/>
      </c>
      <c r="J51" s="6"/>
      <c r="K51" s="6" t="str">
        <f t="shared" si="5"/>
        <v/>
      </c>
    </row>
    <row r="52" spans="1:11" x14ac:dyDescent="0.25">
      <c r="A52" t="str">
        <f t="shared" si="3"/>
        <v/>
      </c>
      <c r="F52" t="str">
        <f>IF(B52="","",COUNTIF(PENJUALAN!J:J,B52))</f>
        <v/>
      </c>
      <c r="G52" s="6" t="str">
        <f>IF(B52="","",SUMIF(PENJUALAN!J:J,B52,PENJUALAN!F:F))</f>
        <v/>
      </c>
      <c r="H52" s="7"/>
      <c r="I52" s="6" t="str">
        <f t="shared" si="4"/>
        <v/>
      </c>
      <c r="J52" s="6"/>
      <c r="K52" s="6" t="str">
        <f t="shared" si="5"/>
        <v/>
      </c>
    </row>
    <row r="53" spans="1:11" x14ac:dyDescent="0.25">
      <c r="A53" t="str">
        <f t="shared" si="3"/>
        <v/>
      </c>
      <c r="F53" t="str">
        <f>IF(B53="","",COUNTIF(PENJUALAN!J:J,B53))</f>
        <v/>
      </c>
      <c r="G53" s="6" t="str">
        <f>IF(B53="","",SUMIF(PENJUALAN!J:J,B53,PENJUALAN!F:F))</f>
        <v/>
      </c>
      <c r="H53" s="7"/>
      <c r="I53" s="6" t="str">
        <f t="shared" si="4"/>
        <v/>
      </c>
      <c r="J53" s="6"/>
      <c r="K53" s="6" t="str">
        <f t="shared" si="5"/>
        <v/>
      </c>
    </row>
    <row r="54" spans="1:11" x14ac:dyDescent="0.25">
      <c r="A54" t="str">
        <f t="shared" si="3"/>
        <v/>
      </c>
      <c r="F54" t="str">
        <f>IF(B54="","",COUNTIF(PENJUALAN!J:J,B54))</f>
        <v/>
      </c>
      <c r="G54" s="6" t="str">
        <f>IF(B54="","",SUMIF(PENJUALAN!J:J,B54,PENJUALAN!F:F))</f>
        <v/>
      </c>
      <c r="H54" s="7"/>
      <c r="I54" s="6" t="str">
        <f t="shared" si="4"/>
        <v/>
      </c>
      <c r="J54" s="6"/>
      <c r="K54" s="6" t="str">
        <f t="shared" si="5"/>
        <v/>
      </c>
    </row>
    <row r="55" spans="1:11" x14ac:dyDescent="0.25">
      <c r="A55" t="str">
        <f t="shared" si="3"/>
        <v/>
      </c>
      <c r="F55" t="str">
        <f>IF(B55="","",COUNTIF(PENJUALAN!J:J,B55))</f>
        <v/>
      </c>
      <c r="G55" s="6" t="str">
        <f>IF(B55="","",SUMIF(PENJUALAN!J:J,B55,PENJUALAN!F:F))</f>
        <v/>
      </c>
      <c r="H55" s="7"/>
      <c r="I55" s="6" t="str">
        <f t="shared" si="4"/>
        <v/>
      </c>
      <c r="J55" s="6"/>
      <c r="K55" s="6" t="str">
        <f t="shared" si="5"/>
        <v/>
      </c>
    </row>
    <row r="56" spans="1:11" x14ac:dyDescent="0.25">
      <c r="A56" t="str">
        <f t="shared" si="3"/>
        <v/>
      </c>
      <c r="F56" t="str">
        <f>IF(B56="","",COUNTIF(PENJUALAN!J:J,B56))</f>
        <v/>
      </c>
      <c r="G56" s="6" t="str">
        <f>IF(B56="","",SUMIF(PENJUALAN!J:J,B56,PENJUALAN!F:F))</f>
        <v/>
      </c>
      <c r="H56" s="7"/>
      <c r="I56" s="6" t="str">
        <f t="shared" si="4"/>
        <v/>
      </c>
      <c r="J56" s="6"/>
      <c r="K56" s="6" t="str">
        <f t="shared" si="5"/>
        <v/>
      </c>
    </row>
    <row r="57" spans="1:11" x14ac:dyDescent="0.25">
      <c r="A57" t="str">
        <f t="shared" si="3"/>
        <v/>
      </c>
      <c r="F57" t="str">
        <f>IF(B57="","",COUNTIF(PENJUALAN!J:J,B57))</f>
        <v/>
      </c>
      <c r="G57" s="6" t="str">
        <f>IF(B57="","",SUMIF(PENJUALAN!J:J,B57,PENJUALAN!F:F))</f>
        <v/>
      </c>
      <c r="H57" s="7"/>
      <c r="I57" s="6" t="str">
        <f t="shared" si="4"/>
        <v/>
      </c>
      <c r="J57" s="6"/>
      <c r="K57" s="6" t="str">
        <f t="shared" si="5"/>
        <v/>
      </c>
    </row>
    <row r="58" spans="1:11" x14ac:dyDescent="0.25">
      <c r="A58" t="str">
        <f t="shared" si="3"/>
        <v/>
      </c>
      <c r="F58" t="str">
        <f>IF(B58="","",COUNTIF(PENJUALAN!J:J,B58))</f>
        <v/>
      </c>
      <c r="G58" s="6" t="str">
        <f>IF(B58="","",SUMIF(PENJUALAN!J:J,B58,PENJUALAN!F:F))</f>
        <v/>
      </c>
      <c r="H58" s="7"/>
      <c r="I58" s="6" t="str">
        <f t="shared" si="4"/>
        <v/>
      </c>
      <c r="J58" s="6"/>
      <c r="K58" s="6" t="str">
        <f t="shared" si="5"/>
        <v/>
      </c>
    </row>
    <row r="59" spans="1:11" x14ac:dyDescent="0.25">
      <c r="A59" t="str">
        <f t="shared" si="3"/>
        <v/>
      </c>
      <c r="F59" t="str">
        <f>IF(B59="","",COUNTIF(PENJUALAN!J:J,B59))</f>
        <v/>
      </c>
      <c r="G59" s="6" t="str">
        <f>IF(B59="","",SUMIF(PENJUALAN!J:J,B59,PENJUALAN!F:F))</f>
        <v/>
      </c>
      <c r="H59" s="7"/>
      <c r="I59" s="6" t="str">
        <f t="shared" si="4"/>
        <v/>
      </c>
      <c r="J59" s="6"/>
      <c r="K59" s="6" t="str">
        <f t="shared" si="5"/>
        <v/>
      </c>
    </row>
    <row r="60" spans="1:11" x14ac:dyDescent="0.25">
      <c r="A60" t="str">
        <f t="shared" si="3"/>
        <v/>
      </c>
      <c r="F60" t="str">
        <f>IF(B60="","",COUNTIF(PENJUALAN!J:J,B60))</f>
        <v/>
      </c>
      <c r="G60" s="6" t="str">
        <f>IF(B60="","",SUMIF(PENJUALAN!J:J,B60,PENJUALAN!F:F))</f>
        <v/>
      </c>
      <c r="H60" s="7"/>
      <c r="I60" s="6" t="str">
        <f t="shared" si="4"/>
        <v/>
      </c>
      <c r="J60" s="6"/>
      <c r="K60" s="6" t="str">
        <f t="shared" si="5"/>
        <v/>
      </c>
    </row>
    <row r="61" spans="1:11" x14ac:dyDescent="0.25">
      <c r="A61" t="str">
        <f t="shared" si="3"/>
        <v/>
      </c>
      <c r="F61" t="str">
        <f>IF(B61="","",COUNTIF(PENJUALAN!J:J,B61))</f>
        <v/>
      </c>
      <c r="G61" s="6" t="str">
        <f>IF(B61="","",SUMIF(PENJUALAN!J:J,B61,PENJUALAN!F:F))</f>
        <v/>
      </c>
      <c r="H61" s="7"/>
      <c r="I61" s="6" t="str">
        <f t="shared" si="4"/>
        <v/>
      </c>
      <c r="J61" s="6"/>
      <c r="K61" s="6" t="str">
        <f t="shared" si="5"/>
        <v/>
      </c>
    </row>
    <row r="62" spans="1:11" x14ac:dyDescent="0.25">
      <c r="A62" t="str">
        <f t="shared" si="3"/>
        <v/>
      </c>
      <c r="F62" t="str">
        <f>IF(B62="","",COUNTIF(PENJUALAN!J:J,B62))</f>
        <v/>
      </c>
      <c r="G62" s="6" t="str">
        <f>IF(B62="","",SUMIF(PENJUALAN!J:J,B62,PENJUALAN!F:F))</f>
        <v/>
      </c>
      <c r="H62" s="7"/>
      <c r="I62" s="6" t="str">
        <f t="shared" si="4"/>
        <v/>
      </c>
      <c r="J62" s="6"/>
      <c r="K62" s="6" t="str">
        <f t="shared" si="5"/>
        <v/>
      </c>
    </row>
    <row r="63" spans="1:11" x14ac:dyDescent="0.25">
      <c r="A63" t="str">
        <f t="shared" si="3"/>
        <v/>
      </c>
      <c r="F63" t="str">
        <f>IF(B63="","",COUNTIF(PENJUALAN!J:J,B63))</f>
        <v/>
      </c>
      <c r="G63" s="6" t="str">
        <f>IF(B63="","",SUMIF(PENJUALAN!J:J,B63,PENJUALAN!F:F))</f>
        <v/>
      </c>
      <c r="H63" s="7"/>
      <c r="I63" s="6" t="str">
        <f t="shared" si="4"/>
        <v/>
      </c>
      <c r="J63" s="6"/>
      <c r="K63" s="6" t="str">
        <f t="shared" si="5"/>
        <v/>
      </c>
    </row>
    <row r="64" spans="1:11" x14ac:dyDescent="0.25">
      <c r="A64" t="str">
        <f t="shared" si="3"/>
        <v/>
      </c>
      <c r="F64" t="str">
        <f>IF(B64="","",COUNTIF(PENJUALAN!J:J,B64))</f>
        <v/>
      </c>
      <c r="G64" s="6" t="str">
        <f>IF(B64="","",SUMIF(PENJUALAN!J:J,B64,PENJUALAN!F:F))</f>
        <v/>
      </c>
      <c r="H64" s="7"/>
      <c r="I64" s="6" t="str">
        <f t="shared" si="4"/>
        <v/>
      </c>
      <c r="J64" s="6"/>
      <c r="K64" s="6" t="str">
        <f t="shared" si="5"/>
        <v/>
      </c>
    </row>
    <row r="65" spans="1:11" x14ac:dyDescent="0.25">
      <c r="A65" t="str">
        <f t="shared" si="3"/>
        <v/>
      </c>
      <c r="F65" t="str">
        <f>IF(B65="","",COUNTIF(PENJUALAN!J:J,B65))</f>
        <v/>
      </c>
      <c r="G65" s="6" t="str">
        <f>IF(B65="","",SUMIF(PENJUALAN!J:J,B65,PENJUALAN!F:F))</f>
        <v/>
      </c>
      <c r="H65" s="7"/>
      <c r="I65" s="6" t="str">
        <f t="shared" si="4"/>
        <v/>
      </c>
      <c r="J65" s="6"/>
      <c r="K65" s="6" t="str">
        <f t="shared" si="5"/>
        <v/>
      </c>
    </row>
    <row r="66" spans="1:11" x14ac:dyDescent="0.25">
      <c r="A66" t="str">
        <f t="shared" si="3"/>
        <v/>
      </c>
      <c r="F66" t="str">
        <f>IF(B66="","",COUNTIF(PENJUALAN!J:J,B66))</f>
        <v/>
      </c>
      <c r="G66" s="6" t="str">
        <f>IF(B66="","",SUMIF(PENJUALAN!J:J,B66,PENJUALAN!F:F))</f>
        <v/>
      </c>
      <c r="H66" s="7"/>
      <c r="I66" s="6" t="str">
        <f t="shared" si="4"/>
        <v/>
      </c>
      <c r="J66" s="6"/>
      <c r="K66" s="6" t="str">
        <f t="shared" si="5"/>
        <v/>
      </c>
    </row>
    <row r="67" spans="1:11" x14ac:dyDescent="0.25">
      <c r="A67" t="str">
        <f t="shared" si="3"/>
        <v/>
      </c>
      <c r="F67" t="str">
        <f>IF(B67="","",COUNTIF(PENJUALAN!J:J,B67))</f>
        <v/>
      </c>
      <c r="G67" s="6" t="str">
        <f>IF(B67="","",SUMIF(PENJUALAN!J:J,B67,PENJUALAN!F:F))</f>
        <v/>
      </c>
      <c r="H67" s="7"/>
      <c r="I67" s="6" t="str">
        <f t="shared" si="4"/>
        <v/>
      </c>
      <c r="J67" s="6"/>
      <c r="K67" s="6" t="str">
        <f t="shared" si="5"/>
        <v/>
      </c>
    </row>
    <row r="68" spans="1:11" x14ac:dyDescent="0.25">
      <c r="A68" t="str">
        <f t="shared" ref="A68:A99" si="6">IF(B68="","","AG-"&amp;TEXT(ROW()-3,"000"))</f>
        <v/>
      </c>
      <c r="F68" t="str">
        <f>IF(B68="","",COUNTIF(PENJUALAN!J:J,B68))</f>
        <v/>
      </c>
      <c r="G68" s="6" t="str">
        <f>IF(B68="","",SUMIF(PENJUALAN!J:J,B68,PENJUALAN!F:F))</f>
        <v/>
      </c>
      <c r="H68" s="7"/>
      <c r="I68" s="6" t="str">
        <f t="shared" ref="I68:I99" si="7">IF(OR(G68="",H68=""),"",G68*H68)</f>
        <v/>
      </c>
      <c r="J68" s="6"/>
      <c r="K68" s="6" t="str">
        <f t="shared" ref="K68:K99" si="8">IF(I68="","",I68-J68)</f>
        <v/>
      </c>
    </row>
    <row r="69" spans="1:11" x14ac:dyDescent="0.25">
      <c r="A69" t="str">
        <f t="shared" si="6"/>
        <v/>
      </c>
      <c r="F69" t="str">
        <f>IF(B69="","",COUNTIF(PENJUALAN!J:J,B69))</f>
        <v/>
      </c>
      <c r="G69" s="6" t="str">
        <f>IF(B69="","",SUMIF(PENJUALAN!J:J,B69,PENJUALAN!F:F))</f>
        <v/>
      </c>
      <c r="H69" s="7"/>
      <c r="I69" s="6" t="str">
        <f t="shared" si="7"/>
        <v/>
      </c>
      <c r="J69" s="6"/>
      <c r="K69" s="6" t="str">
        <f t="shared" si="8"/>
        <v/>
      </c>
    </row>
    <row r="70" spans="1:11" x14ac:dyDescent="0.25">
      <c r="A70" t="str">
        <f t="shared" si="6"/>
        <v/>
      </c>
      <c r="F70" t="str">
        <f>IF(B70="","",COUNTIF(PENJUALAN!J:J,B70))</f>
        <v/>
      </c>
      <c r="G70" s="6" t="str">
        <f>IF(B70="","",SUMIF(PENJUALAN!J:J,B70,PENJUALAN!F:F))</f>
        <v/>
      </c>
      <c r="H70" s="7"/>
      <c r="I70" s="6" t="str">
        <f t="shared" si="7"/>
        <v/>
      </c>
      <c r="J70" s="6"/>
      <c r="K70" s="6" t="str">
        <f t="shared" si="8"/>
        <v/>
      </c>
    </row>
    <row r="71" spans="1:11" x14ac:dyDescent="0.25">
      <c r="A71" t="str">
        <f t="shared" si="6"/>
        <v/>
      </c>
      <c r="F71" t="str">
        <f>IF(B71="","",COUNTIF(PENJUALAN!J:J,B71))</f>
        <v/>
      </c>
      <c r="G71" s="6" t="str">
        <f>IF(B71="","",SUMIF(PENJUALAN!J:J,B71,PENJUALAN!F:F))</f>
        <v/>
      </c>
      <c r="H71" s="7"/>
      <c r="I71" s="6" t="str">
        <f t="shared" si="7"/>
        <v/>
      </c>
      <c r="J71" s="6"/>
      <c r="K71" s="6" t="str">
        <f t="shared" si="8"/>
        <v/>
      </c>
    </row>
    <row r="72" spans="1:11" x14ac:dyDescent="0.25">
      <c r="A72" t="str">
        <f t="shared" si="6"/>
        <v/>
      </c>
      <c r="F72" t="str">
        <f>IF(B72="","",COUNTIF(PENJUALAN!J:J,B72))</f>
        <v/>
      </c>
      <c r="G72" s="6" t="str">
        <f>IF(B72="","",SUMIF(PENJUALAN!J:J,B72,PENJUALAN!F:F))</f>
        <v/>
      </c>
      <c r="H72" s="7"/>
      <c r="I72" s="6" t="str">
        <f t="shared" si="7"/>
        <v/>
      </c>
      <c r="J72" s="6"/>
      <c r="K72" s="6" t="str">
        <f t="shared" si="8"/>
        <v/>
      </c>
    </row>
    <row r="73" spans="1:11" x14ac:dyDescent="0.25">
      <c r="A73" t="str">
        <f t="shared" si="6"/>
        <v/>
      </c>
      <c r="F73" t="str">
        <f>IF(B73="","",COUNTIF(PENJUALAN!J:J,B73))</f>
        <v/>
      </c>
      <c r="G73" s="6" t="str">
        <f>IF(B73="","",SUMIF(PENJUALAN!J:J,B73,PENJUALAN!F:F))</f>
        <v/>
      </c>
      <c r="H73" s="7"/>
      <c r="I73" s="6" t="str">
        <f t="shared" si="7"/>
        <v/>
      </c>
      <c r="J73" s="6"/>
      <c r="K73" s="6" t="str">
        <f t="shared" si="8"/>
        <v/>
      </c>
    </row>
    <row r="74" spans="1:11" x14ac:dyDescent="0.25">
      <c r="A74" t="str">
        <f t="shared" si="6"/>
        <v/>
      </c>
      <c r="F74" t="str">
        <f>IF(B74="","",COUNTIF(PENJUALAN!J:J,B74))</f>
        <v/>
      </c>
      <c r="G74" s="6" t="str">
        <f>IF(B74="","",SUMIF(PENJUALAN!J:J,B74,PENJUALAN!F:F))</f>
        <v/>
      </c>
      <c r="H74" s="7"/>
      <c r="I74" s="6" t="str">
        <f t="shared" si="7"/>
        <v/>
      </c>
      <c r="J74" s="6"/>
      <c r="K74" s="6" t="str">
        <f t="shared" si="8"/>
        <v/>
      </c>
    </row>
    <row r="75" spans="1:11" x14ac:dyDescent="0.25">
      <c r="A75" t="str">
        <f t="shared" si="6"/>
        <v/>
      </c>
      <c r="F75" t="str">
        <f>IF(B75="","",COUNTIF(PENJUALAN!J:J,B75))</f>
        <v/>
      </c>
      <c r="G75" s="6" t="str">
        <f>IF(B75="","",SUMIF(PENJUALAN!J:J,B75,PENJUALAN!F:F))</f>
        <v/>
      </c>
      <c r="H75" s="7"/>
      <c r="I75" s="6" t="str">
        <f t="shared" si="7"/>
        <v/>
      </c>
      <c r="J75" s="6"/>
      <c r="K75" s="6" t="str">
        <f t="shared" si="8"/>
        <v/>
      </c>
    </row>
    <row r="76" spans="1:11" x14ac:dyDescent="0.25">
      <c r="A76" t="str">
        <f t="shared" si="6"/>
        <v/>
      </c>
      <c r="F76" t="str">
        <f>IF(B76="","",COUNTIF(PENJUALAN!J:J,B76))</f>
        <v/>
      </c>
      <c r="G76" s="6" t="str">
        <f>IF(B76="","",SUMIF(PENJUALAN!J:J,B76,PENJUALAN!F:F))</f>
        <v/>
      </c>
      <c r="H76" s="7"/>
      <c r="I76" s="6" t="str">
        <f t="shared" si="7"/>
        <v/>
      </c>
      <c r="J76" s="6"/>
      <c r="K76" s="6" t="str">
        <f t="shared" si="8"/>
        <v/>
      </c>
    </row>
    <row r="77" spans="1:11" x14ac:dyDescent="0.25">
      <c r="A77" t="str">
        <f t="shared" si="6"/>
        <v/>
      </c>
      <c r="F77" t="str">
        <f>IF(B77="","",COUNTIF(PENJUALAN!J:J,B77))</f>
        <v/>
      </c>
      <c r="G77" s="6" t="str">
        <f>IF(B77="","",SUMIF(PENJUALAN!J:J,B77,PENJUALAN!F:F))</f>
        <v/>
      </c>
      <c r="H77" s="7"/>
      <c r="I77" s="6" t="str">
        <f t="shared" si="7"/>
        <v/>
      </c>
      <c r="J77" s="6"/>
      <c r="K77" s="6" t="str">
        <f t="shared" si="8"/>
        <v/>
      </c>
    </row>
    <row r="78" spans="1:11" x14ac:dyDescent="0.25">
      <c r="A78" t="str">
        <f t="shared" si="6"/>
        <v/>
      </c>
      <c r="F78" t="str">
        <f>IF(B78="","",COUNTIF(PENJUALAN!J:J,B78))</f>
        <v/>
      </c>
      <c r="G78" s="6" t="str">
        <f>IF(B78="","",SUMIF(PENJUALAN!J:J,B78,PENJUALAN!F:F))</f>
        <v/>
      </c>
      <c r="H78" s="7"/>
      <c r="I78" s="6" t="str">
        <f t="shared" si="7"/>
        <v/>
      </c>
      <c r="J78" s="6"/>
      <c r="K78" s="6" t="str">
        <f t="shared" si="8"/>
        <v/>
      </c>
    </row>
    <row r="79" spans="1:11" x14ac:dyDescent="0.25">
      <c r="A79" t="str">
        <f t="shared" si="6"/>
        <v/>
      </c>
      <c r="F79" t="str">
        <f>IF(B79="","",COUNTIF(PENJUALAN!J:J,B79))</f>
        <v/>
      </c>
      <c r="G79" s="6" t="str">
        <f>IF(B79="","",SUMIF(PENJUALAN!J:J,B79,PENJUALAN!F:F))</f>
        <v/>
      </c>
      <c r="H79" s="7"/>
      <c r="I79" s="6" t="str">
        <f t="shared" si="7"/>
        <v/>
      </c>
      <c r="J79" s="6"/>
      <c r="K79" s="6" t="str">
        <f t="shared" si="8"/>
        <v/>
      </c>
    </row>
    <row r="80" spans="1:11" x14ac:dyDescent="0.25">
      <c r="A80" t="str">
        <f t="shared" si="6"/>
        <v/>
      </c>
      <c r="F80" t="str">
        <f>IF(B80="","",COUNTIF(PENJUALAN!J:J,B80))</f>
        <v/>
      </c>
      <c r="G80" s="6" t="str">
        <f>IF(B80="","",SUMIF(PENJUALAN!J:J,B80,PENJUALAN!F:F))</f>
        <v/>
      </c>
      <c r="H80" s="7"/>
      <c r="I80" s="6" t="str">
        <f t="shared" si="7"/>
        <v/>
      </c>
      <c r="J80" s="6"/>
      <c r="K80" s="6" t="str">
        <f t="shared" si="8"/>
        <v/>
      </c>
    </row>
    <row r="81" spans="1:11" x14ac:dyDescent="0.25">
      <c r="A81" t="str">
        <f t="shared" si="6"/>
        <v/>
      </c>
      <c r="F81" t="str">
        <f>IF(B81="","",COUNTIF(PENJUALAN!J:J,B81))</f>
        <v/>
      </c>
      <c r="G81" s="6" t="str">
        <f>IF(B81="","",SUMIF(PENJUALAN!J:J,B81,PENJUALAN!F:F))</f>
        <v/>
      </c>
      <c r="H81" s="7"/>
      <c r="I81" s="6" t="str">
        <f t="shared" si="7"/>
        <v/>
      </c>
      <c r="J81" s="6"/>
      <c r="K81" s="6" t="str">
        <f t="shared" si="8"/>
        <v/>
      </c>
    </row>
    <row r="82" spans="1:11" x14ac:dyDescent="0.25">
      <c r="A82" t="str">
        <f t="shared" si="6"/>
        <v/>
      </c>
      <c r="F82" t="str">
        <f>IF(B82="","",COUNTIF(PENJUALAN!J:J,B82))</f>
        <v/>
      </c>
      <c r="G82" s="6" t="str">
        <f>IF(B82="","",SUMIF(PENJUALAN!J:J,B82,PENJUALAN!F:F))</f>
        <v/>
      </c>
      <c r="H82" s="7"/>
      <c r="I82" s="6" t="str">
        <f t="shared" si="7"/>
        <v/>
      </c>
      <c r="J82" s="6"/>
      <c r="K82" s="6" t="str">
        <f t="shared" si="8"/>
        <v/>
      </c>
    </row>
    <row r="83" spans="1:11" x14ac:dyDescent="0.25">
      <c r="A83" t="str">
        <f t="shared" si="6"/>
        <v/>
      </c>
      <c r="F83" t="str">
        <f>IF(B83="","",COUNTIF(PENJUALAN!J:J,B83))</f>
        <v/>
      </c>
      <c r="G83" s="6" t="str">
        <f>IF(B83="","",SUMIF(PENJUALAN!J:J,B83,PENJUALAN!F:F))</f>
        <v/>
      </c>
      <c r="H83" s="7"/>
      <c r="I83" s="6" t="str">
        <f t="shared" si="7"/>
        <v/>
      </c>
      <c r="J83" s="6"/>
      <c r="K83" s="6" t="str">
        <f t="shared" si="8"/>
        <v/>
      </c>
    </row>
    <row r="84" spans="1:11" x14ac:dyDescent="0.25">
      <c r="A84" t="str">
        <f t="shared" si="6"/>
        <v/>
      </c>
      <c r="F84" t="str">
        <f>IF(B84="","",COUNTIF(PENJUALAN!J:J,B84))</f>
        <v/>
      </c>
      <c r="G84" s="6" t="str">
        <f>IF(B84="","",SUMIF(PENJUALAN!J:J,B84,PENJUALAN!F:F))</f>
        <v/>
      </c>
      <c r="H84" s="7"/>
      <c r="I84" s="6" t="str">
        <f t="shared" si="7"/>
        <v/>
      </c>
      <c r="J84" s="6"/>
      <c r="K84" s="6" t="str">
        <f t="shared" si="8"/>
        <v/>
      </c>
    </row>
    <row r="85" spans="1:11" x14ac:dyDescent="0.25">
      <c r="A85" t="str">
        <f t="shared" si="6"/>
        <v/>
      </c>
      <c r="F85" t="str">
        <f>IF(B85="","",COUNTIF(PENJUALAN!J:J,B85))</f>
        <v/>
      </c>
      <c r="G85" s="6" t="str">
        <f>IF(B85="","",SUMIF(PENJUALAN!J:J,B85,PENJUALAN!F:F))</f>
        <v/>
      </c>
      <c r="H85" s="7"/>
      <c r="I85" s="6" t="str">
        <f t="shared" si="7"/>
        <v/>
      </c>
      <c r="J85" s="6"/>
      <c r="K85" s="6" t="str">
        <f t="shared" si="8"/>
        <v/>
      </c>
    </row>
    <row r="86" spans="1:11" x14ac:dyDescent="0.25">
      <c r="A86" t="str">
        <f t="shared" si="6"/>
        <v/>
      </c>
      <c r="F86" t="str">
        <f>IF(B86="","",COUNTIF(PENJUALAN!J:J,B86))</f>
        <v/>
      </c>
      <c r="G86" s="6" t="str">
        <f>IF(B86="","",SUMIF(PENJUALAN!J:J,B86,PENJUALAN!F:F))</f>
        <v/>
      </c>
      <c r="H86" s="7"/>
      <c r="I86" s="6" t="str">
        <f t="shared" si="7"/>
        <v/>
      </c>
      <c r="J86" s="6"/>
      <c r="K86" s="6" t="str">
        <f t="shared" si="8"/>
        <v/>
      </c>
    </row>
    <row r="87" spans="1:11" x14ac:dyDescent="0.25">
      <c r="A87" t="str">
        <f t="shared" si="6"/>
        <v/>
      </c>
      <c r="F87" t="str">
        <f>IF(B87="","",COUNTIF(PENJUALAN!J:J,B87))</f>
        <v/>
      </c>
      <c r="G87" s="6" t="str">
        <f>IF(B87="","",SUMIF(PENJUALAN!J:J,B87,PENJUALAN!F:F))</f>
        <v/>
      </c>
      <c r="H87" s="7"/>
      <c r="I87" s="6" t="str">
        <f t="shared" si="7"/>
        <v/>
      </c>
      <c r="J87" s="6"/>
      <c r="K87" s="6" t="str">
        <f t="shared" si="8"/>
        <v/>
      </c>
    </row>
    <row r="88" spans="1:11" x14ac:dyDescent="0.25">
      <c r="A88" t="str">
        <f t="shared" si="6"/>
        <v/>
      </c>
      <c r="F88" t="str">
        <f>IF(B88="","",COUNTIF(PENJUALAN!J:J,B88))</f>
        <v/>
      </c>
      <c r="G88" s="6" t="str">
        <f>IF(B88="","",SUMIF(PENJUALAN!J:J,B88,PENJUALAN!F:F))</f>
        <v/>
      </c>
      <c r="H88" s="7"/>
      <c r="I88" s="6" t="str">
        <f t="shared" si="7"/>
        <v/>
      </c>
      <c r="J88" s="6"/>
      <c r="K88" s="6" t="str">
        <f t="shared" si="8"/>
        <v/>
      </c>
    </row>
    <row r="89" spans="1:11" x14ac:dyDescent="0.25">
      <c r="A89" t="str">
        <f t="shared" si="6"/>
        <v/>
      </c>
      <c r="F89" t="str">
        <f>IF(B89="","",COUNTIF(PENJUALAN!J:J,B89))</f>
        <v/>
      </c>
      <c r="G89" s="6" t="str">
        <f>IF(B89="","",SUMIF(PENJUALAN!J:J,B89,PENJUALAN!F:F))</f>
        <v/>
      </c>
      <c r="H89" s="7"/>
      <c r="I89" s="6" t="str">
        <f t="shared" si="7"/>
        <v/>
      </c>
      <c r="J89" s="6"/>
      <c r="K89" s="6" t="str">
        <f t="shared" si="8"/>
        <v/>
      </c>
    </row>
    <row r="90" spans="1:11" x14ac:dyDescent="0.25">
      <c r="A90" t="str">
        <f t="shared" si="6"/>
        <v/>
      </c>
      <c r="F90" t="str">
        <f>IF(B90="","",COUNTIF(PENJUALAN!J:J,B90))</f>
        <v/>
      </c>
      <c r="G90" s="6" t="str">
        <f>IF(B90="","",SUMIF(PENJUALAN!J:J,B90,PENJUALAN!F:F))</f>
        <v/>
      </c>
      <c r="H90" s="7"/>
      <c r="I90" s="6" t="str">
        <f t="shared" si="7"/>
        <v/>
      </c>
      <c r="J90" s="6"/>
      <c r="K90" s="6" t="str">
        <f t="shared" si="8"/>
        <v/>
      </c>
    </row>
    <row r="91" spans="1:11" x14ac:dyDescent="0.25">
      <c r="A91" t="str">
        <f t="shared" si="6"/>
        <v/>
      </c>
      <c r="F91" t="str">
        <f>IF(B91="","",COUNTIF(PENJUALAN!J:J,B91))</f>
        <v/>
      </c>
      <c r="G91" s="6" t="str">
        <f>IF(B91="","",SUMIF(PENJUALAN!J:J,B91,PENJUALAN!F:F))</f>
        <v/>
      </c>
      <c r="H91" s="7"/>
      <c r="I91" s="6" t="str">
        <f t="shared" si="7"/>
        <v/>
      </c>
      <c r="J91" s="6"/>
      <c r="K91" s="6" t="str">
        <f t="shared" si="8"/>
        <v/>
      </c>
    </row>
    <row r="92" spans="1:11" x14ac:dyDescent="0.25">
      <c r="A92" t="str">
        <f t="shared" si="6"/>
        <v/>
      </c>
      <c r="F92" t="str">
        <f>IF(B92="","",COUNTIF(PENJUALAN!J:J,B92))</f>
        <v/>
      </c>
      <c r="G92" s="6" t="str">
        <f>IF(B92="","",SUMIF(PENJUALAN!J:J,B92,PENJUALAN!F:F))</f>
        <v/>
      </c>
      <c r="H92" s="7"/>
      <c r="I92" s="6" t="str">
        <f t="shared" si="7"/>
        <v/>
      </c>
      <c r="J92" s="6"/>
      <c r="K92" s="6" t="str">
        <f t="shared" si="8"/>
        <v/>
      </c>
    </row>
    <row r="93" spans="1:11" x14ac:dyDescent="0.25">
      <c r="A93" t="str">
        <f t="shared" si="6"/>
        <v/>
      </c>
      <c r="F93" t="str">
        <f>IF(B93="","",COUNTIF(PENJUALAN!J:J,B93))</f>
        <v/>
      </c>
      <c r="G93" s="6" t="str">
        <f>IF(B93="","",SUMIF(PENJUALAN!J:J,B93,PENJUALAN!F:F))</f>
        <v/>
      </c>
      <c r="H93" s="7"/>
      <c r="I93" s="6" t="str">
        <f t="shared" si="7"/>
        <v/>
      </c>
      <c r="J93" s="6"/>
      <c r="K93" s="6" t="str">
        <f t="shared" si="8"/>
        <v/>
      </c>
    </row>
    <row r="94" spans="1:11" x14ac:dyDescent="0.25">
      <c r="A94" t="str">
        <f t="shared" si="6"/>
        <v/>
      </c>
      <c r="F94" t="str">
        <f>IF(B94="","",COUNTIF(PENJUALAN!J:J,B94))</f>
        <v/>
      </c>
      <c r="G94" s="6" t="str">
        <f>IF(B94="","",SUMIF(PENJUALAN!J:J,B94,PENJUALAN!F:F))</f>
        <v/>
      </c>
      <c r="H94" s="7"/>
      <c r="I94" s="6" t="str">
        <f t="shared" si="7"/>
        <v/>
      </c>
      <c r="J94" s="6"/>
      <c r="K94" s="6" t="str">
        <f t="shared" si="8"/>
        <v/>
      </c>
    </row>
    <row r="95" spans="1:11" x14ac:dyDescent="0.25">
      <c r="A95" t="str">
        <f t="shared" si="6"/>
        <v/>
      </c>
      <c r="F95" t="str">
        <f>IF(B95="","",COUNTIF(PENJUALAN!J:J,B95))</f>
        <v/>
      </c>
      <c r="G95" s="6" t="str">
        <f>IF(B95="","",SUMIF(PENJUALAN!J:J,B95,PENJUALAN!F:F))</f>
        <v/>
      </c>
      <c r="H95" s="7"/>
      <c r="I95" s="6" t="str">
        <f t="shared" si="7"/>
        <v/>
      </c>
      <c r="J95" s="6"/>
      <c r="K95" s="6" t="str">
        <f t="shared" si="8"/>
        <v/>
      </c>
    </row>
    <row r="96" spans="1:11" x14ac:dyDescent="0.25">
      <c r="A96" t="str">
        <f t="shared" si="6"/>
        <v/>
      </c>
      <c r="F96" t="str">
        <f>IF(B96="","",COUNTIF(PENJUALAN!J:J,B96))</f>
        <v/>
      </c>
      <c r="G96" s="6" t="str">
        <f>IF(B96="","",SUMIF(PENJUALAN!J:J,B96,PENJUALAN!F:F))</f>
        <v/>
      </c>
      <c r="H96" s="7"/>
      <c r="I96" s="6" t="str">
        <f t="shared" si="7"/>
        <v/>
      </c>
      <c r="J96" s="6"/>
      <c r="K96" s="6" t="str">
        <f t="shared" si="8"/>
        <v/>
      </c>
    </row>
    <row r="97" spans="1:11" x14ac:dyDescent="0.25">
      <c r="A97" t="str">
        <f t="shared" si="6"/>
        <v/>
      </c>
      <c r="F97" t="str">
        <f>IF(B97="","",COUNTIF(PENJUALAN!J:J,B97))</f>
        <v/>
      </c>
      <c r="G97" s="6" t="str">
        <f>IF(B97="","",SUMIF(PENJUALAN!J:J,B97,PENJUALAN!F:F))</f>
        <v/>
      </c>
      <c r="H97" s="7"/>
      <c r="I97" s="6" t="str">
        <f t="shared" si="7"/>
        <v/>
      </c>
      <c r="J97" s="6"/>
      <c r="K97" s="6" t="str">
        <f t="shared" si="8"/>
        <v/>
      </c>
    </row>
    <row r="98" spans="1:11" x14ac:dyDescent="0.25">
      <c r="A98" t="str">
        <f t="shared" si="6"/>
        <v/>
      </c>
      <c r="F98" t="str">
        <f>IF(B98="","",COUNTIF(PENJUALAN!J:J,B98))</f>
        <v/>
      </c>
      <c r="G98" s="6" t="str">
        <f>IF(B98="","",SUMIF(PENJUALAN!J:J,B98,PENJUALAN!F:F))</f>
        <v/>
      </c>
      <c r="H98" s="7"/>
      <c r="I98" s="6" t="str">
        <f t="shared" si="7"/>
        <v/>
      </c>
      <c r="J98" s="6"/>
      <c r="K98" s="6" t="str">
        <f t="shared" si="8"/>
        <v/>
      </c>
    </row>
    <row r="99" spans="1:11" x14ac:dyDescent="0.25">
      <c r="A99" t="str">
        <f t="shared" si="6"/>
        <v/>
      </c>
      <c r="F99" t="str">
        <f>IF(B99="","",COUNTIF(PENJUALAN!J:J,B99))</f>
        <v/>
      </c>
      <c r="G99" s="6" t="str">
        <f>IF(B99="","",SUMIF(PENJUALAN!J:J,B99,PENJUALAN!F:F))</f>
        <v/>
      </c>
      <c r="H99" s="7"/>
      <c r="I99" s="6" t="str">
        <f t="shared" si="7"/>
        <v/>
      </c>
      <c r="J99" s="6"/>
      <c r="K99" s="6" t="str">
        <f t="shared" si="8"/>
        <v/>
      </c>
    </row>
    <row r="100" spans="1:11" x14ac:dyDescent="0.25">
      <c r="A100" t="str">
        <f t="shared" ref="A100:A131" si="9">IF(B100="","","AG-"&amp;TEXT(ROW()-3,"000"))</f>
        <v/>
      </c>
      <c r="F100" t="str">
        <f>IF(B100="","",COUNTIF(PENJUALAN!J:J,B100))</f>
        <v/>
      </c>
      <c r="G100" s="6" t="str">
        <f>IF(B100="","",SUMIF(PENJUALAN!J:J,B100,PENJUALAN!F:F))</f>
        <v/>
      </c>
      <c r="H100" s="7"/>
      <c r="I100" s="6" t="str">
        <f t="shared" ref="I100:I131" si="10">IF(OR(G100="",H100=""),"",G100*H100)</f>
        <v/>
      </c>
      <c r="J100" s="6"/>
      <c r="K100" s="6" t="str">
        <f t="shared" ref="K100:K131" si="11">IF(I100="","",I100-J100)</f>
        <v/>
      </c>
    </row>
    <row r="101" spans="1:11" x14ac:dyDescent="0.25">
      <c r="A101" t="str">
        <f t="shared" si="9"/>
        <v/>
      </c>
      <c r="F101" t="str">
        <f>IF(B101="","",COUNTIF(PENJUALAN!J:J,B101))</f>
        <v/>
      </c>
      <c r="G101" s="6" t="str">
        <f>IF(B101="","",SUMIF(PENJUALAN!J:J,B101,PENJUALAN!F:F))</f>
        <v/>
      </c>
      <c r="H101" s="7"/>
      <c r="I101" s="6" t="str">
        <f t="shared" si="10"/>
        <v/>
      </c>
      <c r="J101" s="6"/>
      <c r="K101" s="6" t="str">
        <f t="shared" si="11"/>
        <v/>
      </c>
    </row>
    <row r="102" spans="1:11" x14ac:dyDescent="0.25">
      <c r="A102" t="str">
        <f t="shared" si="9"/>
        <v/>
      </c>
      <c r="F102" t="str">
        <f>IF(B102="","",COUNTIF(PENJUALAN!J:J,B102))</f>
        <v/>
      </c>
      <c r="G102" s="6" t="str">
        <f>IF(B102="","",SUMIF(PENJUALAN!J:J,B102,PENJUALAN!F:F))</f>
        <v/>
      </c>
      <c r="H102" s="7"/>
      <c r="I102" s="6" t="str">
        <f t="shared" si="10"/>
        <v/>
      </c>
      <c r="J102" s="6"/>
      <c r="K102" s="6" t="str">
        <f t="shared" si="11"/>
        <v/>
      </c>
    </row>
    <row r="103" spans="1:11" x14ac:dyDescent="0.25">
      <c r="A103" t="str">
        <f t="shared" si="9"/>
        <v/>
      </c>
      <c r="F103" t="str">
        <f>IF(B103="","",COUNTIF(PENJUALAN!J:J,B103))</f>
        <v/>
      </c>
      <c r="G103" s="6" t="str">
        <f>IF(B103="","",SUMIF(PENJUALAN!J:J,B103,PENJUALAN!F:F))</f>
        <v/>
      </c>
      <c r="H103" s="7"/>
      <c r="I103" s="6" t="str">
        <f t="shared" si="10"/>
        <v/>
      </c>
      <c r="J103" s="6"/>
      <c r="K103" s="6" t="str">
        <f t="shared" si="11"/>
        <v/>
      </c>
    </row>
  </sheetData>
  <autoFilter ref="A1:K103" xr:uid="{00000000-0009-0000-0000-000005000000}"/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03"/>
  <sheetViews>
    <sheetView showGridLines="0" topLeftCell="D1" workbookViewId="0">
      <pane ySplit="2" topLeftCell="A3" activePane="bottomLeft" state="frozen"/>
      <selection pane="bottomLeft" activeCell="A4" sqref="A4:N20"/>
    </sheetView>
  </sheetViews>
  <sheetFormatPr defaultRowHeight="15" x14ac:dyDescent="0.25"/>
  <cols>
    <col min="1" max="1" width="18" customWidth="1"/>
    <col min="2" max="2" width="14" customWidth="1"/>
    <col min="3" max="3" width="15" customWidth="1"/>
    <col min="4" max="4" width="17" customWidth="1"/>
    <col min="5" max="5" width="24" customWidth="1"/>
    <col min="6" max="6" width="17" customWidth="1"/>
    <col min="7" max="9" width="14" customWidth="1"/>
    <col min="10" max="10" width="22" customWidth="1"/>
    <col min="11" max="12" width="17" customWidth="1"/>
    <col min="13" max="13" width="10" customWidth="1"/>
    <col min="14" max="14" width="14" customWidth="1"/>
  </cols>
  <sheetData>
    <row r="1" spans="1:14" ht="21" x14ac:dyDescent="0.35">
      <c r="A1" s="10" t="s">
        <v>158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x14ac:dyDescent="0.25">
      <c r="A3" s="12" t="s">
        <v>159</v>
      </c>
      <c r="B3" s="12" t="s">
        <v>160</v>
      </c>
      <c r="C3" s="12" t="s">
        <v>145</v>
      </c>
      <c r="D3" s="12" t="s">
        <v>91</v>
      </c>
      <c r="E3" s="12" t="s">
        <v>161</v>
      </c>
      <c r="F3" s="12" t="s">
        <v>162</v>
      </c>
      <c r="G3" s="12" t="s">
        <v>9</v>
      </c>
      <c r="H3" s="12" t="s">
        <v>12</v>
      </c>
      <c r="I3" s="12" t="s">
        <v>52</v>
      </c>
      <c r="J3" s="12" t="s">
        <v>92</v>
      </c>
      <c r="K3" s="12" t="s">
        <v>163</v>
      </c>
      <c r="L3" s="12" t="s">
        <v>164</v>
      </c>
      <c r="M3" s="12" t="s">
        <v>165</v>
      </c>
      <c r="N3" s="12" t="s">
        <v>90</v>
      </c>
    </row>
    <row r="4" spans="1:14" x14ac:dyDescent="0.25">
      <c r="A4" s="14" t="str">
        <f t="shared" ref="A4:A35" si="0">IF(E4="","","TRX-2026-"&amp;TEXT(ROW()-3,"0000"))</f>
        <v/>
      </c>
      <c r="B4" s="14"/>
      <c r="C4" s="14"/>
      <c r="D4" s="14"/>
      <c r="E4" s="14"/>
      <c r="F4" s="15"/>
      <c r="G4" s="15"/>
      <c r="H4" s="15"/>
      <c r="I4" s="15"/>
      <c r="J4" s="15"/>
      <c r="K4" s="15" t="str">
        <f>IF(A4="","",SUMIF(PEMBAYARAN!B:B,A4,PEMBAYARAN!F:F))</f>
        <v/>
      </c>
      <c r="L4" s="15" t="str">
        <f t="shared" ref="L4:L35" si="1">IF(F4="","",MAX(0,F4-K4))</f>
        <v/>
      </c>
      <c r="M4" s="14"/>
      <c r="N4" s="14"/>
    </row>
    <row r="5" spans="1:14" x14ac:dyDescent="0.25">
      <c r="A5" s="14" t="str">
        <f t="shared" si="0"/>
        <v/>
      </c>
      <c r="B5" s="14"/>
      <c r="C5" s="14"/>
      <c r="D5" s="14"/>
      <c r="E5" s="14"/>
      <c r="F5" s="15"/>
      <c r="G5" s="15"/>
      <c r="H5" s="15"/>
      <c r="I5" s="15"/>
      <c r="J5" s="15"/>
      <c r="K5" s="15" t="str">
        <f>IF(A5="","",SUMIF(PEMBAYARAN!B:B,A5,PEMBAYARAN!F:F))</f>
        <v/>
      </c>
      <c r="L5" s="15" t="str">
        <f t="shared" si="1"/>
        <v/>
      </c>
      <c r="M5" s="14"/>
      <c r="N5" s="14"/>
    </row>
    <row r="6" spans="1:14" x14ac:dyDescent="0.25">
      <c r="A6" s="14" t="str">
        <f t="shared" si="0"/>
        <v/>
      </c>
      <c r="B6" s="14"/>
      <c r="C6" s="14"/>
      <c r="D6" s="14"/>
      <c r="E6" s="14"/>
      <c r="F6" s="15"/>
      <c r="G6" s="15"/>
      <c r="H6" s="15"/>
      <c r="I6" s="15"/>
      <c r="J6" s="15"/>
      <c r="K6" s="15" t="str">
        <f>IF(A6="","",SUMIF(PEMBAYARAN!B:B,A6,PEMBAYARAN!F:F))</f>
        <v/>
      </c>
      <c r="L6" s="15" t="str">
        <f t="shared" si="1"/>
        <v/>
      </c>
      <c r="M6" s="14"/>
      <c r="N6" s="14"/>
    </row>
    <row r="7" spans="1:14" x14ac:dyDescent="0.25">
      <c r="A7" s="14" t="str">
        <f t="shared" si="0"/>
        <v/>
      </c>
      <c r="B7" s="14"/>
      <c r="C7" s="14"/>
      <c r="D7" s="14"/>
      <c r="E7" s="14"/>
      <c r="F7" s="15"/>
      <c r="G7" s="15"/>
      <c r="H7" s="15"/>
      <c r="I7" s="15"/>
      <c r="J7" s="15"/>
      <c r="K7" s="15" t="str">
        <f>IF(A7="","",SUMIF(PEMBAYARAN!B:B,A7,PEMBAYARAN!F:F))</f>
        <v/>
      </c>
      <c r="L7" s="15" t="str">
        <f t="shared" si="1"/>
        <v/>
      </c>
      <c r="M7" s="14"/>
      <c r="N7" s="14"/>
    </row>
    <row r="8" spans="1:14" x14ac:dyDescent="0.25">
      <c r="A8" s="14" t="str">
        <f t="shared" si="0"/>
        <v/>
      </c>
      <c r="B8" s="14"/>
      <c r="C8" s="14"/>
      <c r="D8" s="14"/>
      <c r="E8" s="14"/>
      <c r="F8" s="15"/>
      <c r="G8" s="15"/>
      <c r="H8" s="15"/>
      <c r="I8" s="15"/>
      <c r="J8" s="15"/>
      <c r="K8" s="15" t="str">
        <f>IF(A8="","",SUMIF(PEMBAYARAN!B:B,A8,PEMBAYARAN!F:F))</f>
        <v/>
      </c>
      <c r="L8" s="15" t="str">
        <f t="shared" si="1"/>
        <v/>
      </c>
      <c r="M8" s="14"/>
      <c r="N8" s="14"/>
    </row>
    <row r="9" spans="1:14" x14ac:dyDescent="0.25">
      <c r="A9" s="14" t="str">
        <f t="shared" si="0"/>
        <v/>
      </c>
      <c r="B9" s="14"/>
      <c r="C9" s="14"/>
      <c r="D9" s="14"/>
      <c r="E9" s="14"/>
      <c r="F9" s="15"/>
      <c r="G9" s="15"/>
      <c r="H9" s="15"/>
      <c r="I9" s="15"/>
      <c r="J9" s="15"/>
      <c r="K9" s="15" t="str">
        <f>IF(A9="","",SUMIF(PEMBAYARAN!B:B,A9,PEMBAYARAN!F:F))</f>
        <v/>
      </c>
      <c r="L9" s="15" t="str">
        <f t="shared" si="1"/>
        <v/>
      </c>
      <c r="M9" s="14"/>
      <c r="N9" s="14"/>
    </row>
    <row r="10" spans="1:14" x14ac:dyDescent="0.25">
      <c r="A10" s="14" t="str">
        <f t="shared" si="0"/>
        <v/>
      </c>
      <c r="B10" s="14"/>
      <c r="C10" s="14"/>
      <c r="D10" s="14"/>
      <c r="E10" s="14"/>
      <c r="F10" s="15"/>
      <c r="G10" s="15"/>
      <c r="H10" s="15"/>
      <c r="I10" s="15"/>
      <c r="J10" s="15"/>
      <c r="K10" s="15" t="str">
        <f>IF(A10="","",SUMIF(PEMBAYARAN!B:B,A10,PEMBAYARAN!F:F))</f>
        <v/>
      </c>
      <c r="L10" s="15" t="str">
        <f t="shared" si="1"/>
        <v/>
      </c>
      <c r="M10" s="14"/>
      <c r="N10" s="14"/>
    </row>
    <row r="11" spans="1:14" x14ac:dyDescent="0.25">
      <c r="A11" s="14" t="str">
        <f t="shared" si="0"/>
        <v/>
      </c>
      <c r="B11" s="14"/>
      <c r="C11" s="14"/>
      <c r="D11" s="14"/>
      <c r="E11" s="14"/>
      <c r="F11" s="15"/>
      <c r="G11" s="15"/>
      <c r="H11" s="15"/>
      <c r="I11" s="15"/>
      <c r="J11" s="15"/>
      <c r="K11" s="15" t="str">
        <f>IF(A11="","",SUMIF(PEMBAYARAN!B:B,A11,PEMBAYARAN!F:F))</f>
        <v/>
      </c>
      <c r="L11" s="15" t="str">
        <f t="shared" si="1"/>
        <v/>
      </c>
      <c r="M11" s="14"/>
      <c r="N11" s="14"/>
    </row>
    <row r="12" spans="1:14" x14ac:dyDescent="0.25">
      <c r="A12" s="14" t="str">
        <f t="shared" si="0"/>
        <v/>
      </c>
      <c r="B12" s="14"/>
      <c r="C12" s="14"/>
      <c r="D12" s="14"/>
      <c r="E12" s="14"/>
      <c r="F12" s="15"/>
      <c r="G12" s="15"/>
      <c r="H12" s="15"/>
      <c r="I12" s="15"/>
      <c r="J12" s="15"/>
      <c r="K12" s="15" t="str">
        <f>IF(A12="","",SUMIF(PEMBAYARAN!B:B,A12,PEMBAYARAN!F:F))</f>
        <v/>
      </c>
      <c r="L12" s="15" t="str">
        <f t="shared" si="1"/>
        <v/>
      </c>
      <c r="M12" s="14"/>
      <c r="N12" s="14"/>
    </row>
    <row r="13" spans="1:14" x14ac:dyDescent="0.25">
      <c r="A13" s="14" t="str">
        <f t="shared" si="0"/>
        <v/>
      </c>
      <c r="B13" s="14"/>
      <c r="C13" s="14"/>
      <c r="D13" s="14"/>
      <c r="E13" s="14"/>
      <c r="F13" s="15"/>
      <c r="G13" s="15"/>
      <c r="H13" s="15"/>
      <c r="I13" s="15"/>
      <c r="J13" s="15"/>
      <c r="K13" s="15" t="str">
        <f>IF(A13="","",SUMIF(PEMBAYARAN!B:B,A13,PEMBAYARAN!F:F))</f>
        <v/>
      </c>
      <c r="L13" s="15" t="str">
        <f t="shared" si="1"/>
        <v/>
      </c>
      <c r="M13" s="14"/>
      <c r="N13" s="14"/>
    </row>
    <row r="14" spans="1:14" x14ac:dyDescent="0.25">
      <c r="A14" s="14" t="str">
        <f t="shared" si="0"/>
        <v/>
      </c>
      <c r="B14" s="14"/>
      <c r="C14" s="14"/>
      <c r="D14" s="14"/>
      <c r="E14" s="14"/>
      <c r="F14" s="15"/>
      <c r="G14" s="15"/>
      <c r="H14" s="15"/>
      <c r="I14" s="15"/>
      <c r="J14" s="15"/>
      <c r="K14" s="15" t="str">
        <f>IF(A14="","",SUMIF(PEMBAYARAN!B:B,A14,PEMBAYARAN!F:F))</f>
        <v/>
      </c>
      <c r="L14" s="15" t="str">
        <f t="shared" si="1"/>
        <v/>
      </c>
      <c r="M14" s="14"/>
      <c r="N14" s="14"/>
    </row>
    <row r="15" spans="1:14" x14ac:dyDescent="0.25">
      <c r="A15" s="14" t="str">
        <f t="shared" si="0"/>
        <v/>
      </c>
      <c r="B15" s="14"/>
      <c r="C15" s="14"/>
      <c r="D15" s="14"/>
      <c r="E15" s="14"/>
      <c r="F15" s="15"/>
      <c r="G15" s="15"/>
      <c r="H15" s="15"/>
      <c r="I15" s="15"/>
      <c r="J15" s="15"/>
      <c r="K15" s="15" t="str">
        <f>IF(A15="","",SUMIF(PEMBAYARAN!B:B,A15,PEMBAYARAN!F:F))</f>
        <v/>
      </c>
      <c r="L15" s="15" t="str">
        <f t="shared" si="1"/>
        <v/>
      </c>
      <c r="M15" s="14"/>
      <c r="N15" s="14"/>
    </row>
    <row r="16" spans="1:14" x14ac:dyDescent="0.25">
      <c r="A16" s="14" t="str">
        <f t="shared" si="0"/>
        <v/>
      </c>
      <c r="B16" s="14"/>
      <c r="C16" s="14"/>
      <c r="D16" s="14"/>
      <c r="E16" s="14"/>
      <c r="F16" s="15"/>
      <c r="G16" s="15"/>
      <c r="H16" s="15"/>
      <c r="I16" s="15"/>
      <c r="J16" s="15"/>
      <c r="K16" s="15" t="str">
        <f>IF(A16="","",SUMIF(PEMBAYARAN!B:B,A16,PEMBAYARAN!F:F))</f>
        <v/>
      </c>
      <c r="L16" s="15" t="str">
        <f t="shared" si="1"/>
        <v/>
      </c>
      <c r="M16" s="14"/>
      <c r="N16" s="14"/>
    </row>
    <row r="17" spans="1:14" x14ac:dyDescent="0.25">
      <c r="A17" s="14" t="str">
        <f t="shared" si="0"/>
        <v/>
      </c>
      <c r="B17" s="14"/>
      <c r="C17" s="14"/>
      <c r="D17" s="14"/>
      <c r="E17" s="14"/>
      <c r="F17" s="15"/>
      <c r="G17" s="15"/>
      <c r="H17" s="15"/>
      <c r="I17" s="15"/>
      <c r="J17" s="15"/>
      <c r="K17" s="15" t="str">
        <f>IF(A17="","",SUMIF(PEMBAYARAN!B:B,A17,PEMBAYARAN!F:F))</f>
        <v/>
      </c>
      <c r="L17" s="15" t="str">
        <f t="shared" si="1"/>
        <v/>
      </c>
      <c r="M17" s="14"/>
      <c r="N17" s="14"/>
    </row>
    <row r="18" spans="1:14" x14ac:dyDescent="0.25">
      <c r="A18" s="14" t="str">
        <f t="shared" si="0"/>
        <v/>
      </c>
      <c r="B18" s="14"/>
      <c r="C18" s="14"/>
      <c r="D18" s="14"/>
      <c r="E18" s="14"/>
      <c r="F18" s="15"/>
      <c r="G18" s="15"/>
      <c r="H18" s="15"/>
      <c r="I18" s="15"/>
      <c r="J18" s="15"/>
      <c r="K18" s="15" t="str">
        <f>IF(A18="","",SUMIF(PEMBAYARAN!B:B,A18,PEMBAYARAN!F:F))</f>
        <v/>
      </c>
      <c r="L18" s="15" t="str">
        <f t="shared" si="1"/>
        <v/>
      </c>
      <c r="M18" s="14"/>
      <c r="N18" s="14"/>
    </row>
    <row r="19" spans="1:14" x14ac:dyDescent="0.25">
      <c r="A19" s="14" t="str">
        <f t="shared" si="0"/>
        <v/>
      </c>
      <c r="B19" s="14"/>
      <c r="C19" s="14"/>
      <c r="D19" s="14"/>
      <c r="E19" s="14"/>
      <c r="F19" s="15"/>
      <c r="G19" s="15"/>
      <c r="H19" s="15"/>
      <c r="I19" s="15"/>
      <c r="J19" s="15"/>
      <c r="K19" s="15" t="str">
        <f>IF(A19="","",SUMIF(PEMBAYARAN!B:B,A19,PEMBAYARAN!F:F))</f>
        <v/>
      </c>
      <c r="L19" s="15" t="str">
        <f t="shared" si="1"/>
        <v/>
      </c>
      <c r="M19" s="14"/>
      <c r="N19" s="14"/>
    </row>
    <row r="20" spans="1:14" x14ac:dyDescent="0.25">
      <c r="A20" s="14" t="str">
        <f t="shared" si="0"/>
        <v/>
      </c>
      <c r="B20" s="14"/>
      <c r="C20" s="14"/>
      <c r="D20" s="14"/>
      <c r="E20" s="14"/>
      <c r="F20" s="15"/>
      <c r="G20" s="15"/>
      <c r="H20" s="15"/>
      <c r="I20" s="15"/>
      <c r="J20" s="15"/>
      <c r="K20" s="15" t="str">
        <f>IF(A20="","",SUMIF(PEMBAYARAN!B:B,A20,PEMBAYARAN!F:F))</f>
        <v/>
      </c>
      <c r="L20" s="15" t="str">
        <f t="shared" si="1"/>
        <v/>
      </c>
      <c r="M20" s="14"/>
      <c r="N20" s="14"/>
    </row>
    <row r="21" spans="1:14" x14ac:dyDescent="0.25">
      <c r="A21" t="str">
        <f t="shared" si="0"/>
        <v/>
      </c>
      <c r="F21" s="6"/>
      <c r="G21" s="6"/>
      <c r="H21" s="6"/>
      <c r="I21" s="6"/>
      <c r="J21" s="6"/>
      <c r="K21" s="6" t="str">
        <f>IF(A21="","",SUMIF(PEMBAYARAN!B:B,A21,PEMBAYARAN!F:F))</f>
        <v/>
      </c>
      <c r="L21" s="6" t="str">
        <f t="shared" si="1"/>
        <v/>
      </c>
    </row>
    <row r="22" spans="1:14" x14ac:dyDescent="0.25">
      <c r="A22" t="str">
        <f t="shared" si="0"/>
        <v/>
      </c>
      <c r="F22" s="6"/>
      <c r="G22" s="6"/>
      <c r="H22" s="6"/>
      <c r="I22" s="6"/>
      <c r="J22" s="6"/>
      <c r="K22" s="6" t="str">
        <f>IF(A22="","",SUMIF(PEMBAYARAN!B:B,A22,PEMBAYARAN!F:F))</f>
        <v/>
      </c>
      <c r="L22" s="6" t="str">
        <f t="shared" si="1"/>
        <v/>
      </c>
    </row>
    <row r="23" spans="1:14" x14ac:dyDescent="0.25">
      <c r="A23" t="str">
        <f t="shared" si="0"/>
        <v/>
      </c>
      <c r="F23" s="6"/>
      <c r="G23" s="6"/>
      <c r="H23" s="6"/>
      <c r="I23" s="6"/>
      <c r="J23" s="6"/>
      <c r="K23" s="6" t="str">
        <f>IF(A23="","",SUMIF(PEMBAYARAN!B:B,A23,PEMBAYARAN!F:F))</f>
        <v/>
      </c>
      <c r="L23" s="6" t="str">
        <f t="shared" si="1"/>
        <v/>
      </c>
    </row>
    <row r="24" spans="1:14" x14ac:dyDescent="0.25">
      <c r="A24" t="str">
        <f t="shared" si="0"/>
        <v/>
      </c>
      <c r="F24" s="6"/>
      <c r="G24" s="6"/>
      <c r="H24" s="6"/>
      <c r="I24" s="6"/>
      <c r="J24" s="6"/>
      <c r="K24" s="6" t="str">
        <f>IF(A24="","",SUMIF(PEMBAYARAN!B:B,A24,PEMBAYARAN!F:F))</f>
        <v/>
      </c>
      <c r="L24" s="6" t="str">
        <f t="shared" si="1"/>
        <v/>
      </c>
    </row>
    <row r="25" spans="1:14" x14ac:dyDescent="0.25">
      <c r="A25" t="str">
        <f t="shared" si="0"/>
        <v/>
      </c>
      <c r="F25" s="6"/>
      <c r="G25" s="6"/>
      <c r="H25" s="6"/>
      <c r="I25" s="6"/>
      <c r="J25" s="6"/>
      <c r="K25" s="6" t="str">
        <f>IF(A25="","",SUMIF(PEMBAYARAN!B:B,A25,PEMBAYARAN!F:F))</f>
        <v/>
      </c>
      <c r="L25" s="6" t="str">
        <f t="shared" si="1"/>
        <v/>
      </c>
    </row>
    <row r="26" spans="1:14" x14ac:dyDescent="0.25">
      <c r="A26" t="str">
        <f t="shared" si="0"/>
        <v/>
      </c>
      <c r="F26" s="6"/>
      <c r="G26" s="6"/>
      <c r="H26" s="6"/>
      <c r="I26" s="6"/>
      <c r="J26" s="6"/>
      <c r="K26" s="6" t="str">
        <f>IF(A26="","",SUMIF(PEMBAYARAN!B:B,A26,PEMBAYARAN!F:F))</f>
        <v/>
      </c>
      <c r="L26" s="6" t="str">
        <f t="shared" si="1"/>
        <v/>
      </c>
    </row>
    <row r="27" spans="1:14" x14ac:dyDescent="0.25">
      <c r="A27" t="str">
        <f t="shared" si="0"/>
        <v/>
      </c>
      <c r="F27" s="6"/>
      <c r="G27" s="6"/>
      <c r="H27" s="6"/>
      <c r="I27" s="6"/>
      <c r="J27" s="6"/>
      <c r="K27" s="6" t="str">
        <f>IF(A27="","",SUMIF(PEMBAYARAN!B:B,A27,PEMBAYARAN!F:F))</f>
        <v/>
      </c>
      <c r="L27" s="6" t="str">
        <f t="shared" si="1"/>
        <v/>
      </c>
    </row>
    <row r="28" spans="1:14" x14ac:dyDescent="0.25">
      <c r="A28" t="str">
        <f t="shared" si="0"/>
        <v/>
      </c>
      <c r="F28" s="6"/>
      <c r="G28" s="6"/>
      <c r="H28" s="6"/>
      <c r="I28" s="6"/>
      <c r="J28" s="6"/>
      <c r="K28" s="6" t="str">
        <f>IF(A28="","",SUMIF(PEMBAYARAN!B:B,A28,PEMBAYARAN!F:F))</f>
        <v/>
      </c>
      <c r="L28" s="6" t="str">
        <f t="shared" si="1"/>
        <v/>
      </c>
    </row>
    <row r="29" spans="1:14" x14ac:dyDescent="0.25">
      <c r="A29" t="str">
        <f t="shared" si="0"/>
        <v/>
      </c>
      <c r="F29" s="6"/>
      <c r="G29" s="6"/>
      <c r="H29" s="6"/>
      <c r="I29" s="6"/>
      <c r="J29" s="6"/>
      <c r="K29" s="6" t="str">
        <f>IF(A29="","",SUMIF(PEMBAYARAN!B:B,A29,PEMBAYARAN!F:F))</f>
        <v/>
      </c>
      <c r="L29" s="6" t="str">
        <f t="shared" si="1"/>
        <v/>
      </c>
    </row>
    <row r="30" spans="1:14" x14ac:dyDescent="0.25">
      <c r="A30" t="str">
        <f t="shared" si="0"/>
        <v/>
      </c>
      <c r="F30" s="6"/>
      <c r="G30" s="6"/>
      <c r="H30" s="6"/>
      <c r="I30" s="6"/>
      <c r="J30" s="6"/>
      <c r="K30" s="6" t="str">
        <f>IF(A30="","",SUMIF(PEMBAYARAN!B:B,A30,PEMBAYARAN!F:F))</f>
        <v/>
      </c>
      <c r="L30" s="6" t="str">
        <f t="shared" si="1"/>
        <v/>
      </c>
    </row>
    <row r="31" spans="1:14" x14ac:dyDescent="0.25">
      <c r="A31" t="str">
        <f t="shared" si="0"/>
        <v/>
      </c>
      <c r="F31" s="6"/>
      <c r="G31" s="6"/>
      <c r="H31" s="6"/>
      <c r="I31" s="6"/>
      <c r="J31" s="6"/>
      <c r="K31" s="6" t="str">
        <f>IF(A31="","",SUMIF(PEMBAYARAN!B:B,A31,PEMBAYARAN!F:F))</f>
        <v/>
      </c>
      <c r="L31" s="6" t="str">
        <f t="shared" si="1"/>
        <v/>
      </c>
    </row>
    <row r="32" spans="1:14" x14ac:dyDescent="0.25">
      <c r="A32" t="str">
        <f t="shared" si="0"/>
        <v/>
      </c>
      <c r="F32" s="6"/>
      <c r="G32" s="6"/>
      <c r="H32" s="6"/>
      <c r="I32" s="6"/>
      <c r="J32" s="6"/>
      <c r="K32" s="6" t="str">
        <f>IF(A32="","",SUMIF(PEMBAYARAN!B:B,A32,PEMBAYARAN!F:F))</f>
        <v/>
      </c>
      <c r="L32" s="6" t="str">
        <f t="shared" si="1"/>
        <v/>
      </c>
    </row>
    <row r="33" spans="1:12" x14ac:dyDescent="0.25">
      <c r="A33" t="str">
        <f t="shared" si="0"/>
        <v/>
      </c>
      <c r="F33" s="6"/>
      <c r="G33" s="6"/>
      <c r="H33" s="6"/>
      <c r="I33" s="6"/>
      <c r="J33" s="6"/>
      <c r="K33" s="6" t="str">
        <f>IF(A33="","",SUMIF(PEMBAYARAN!B:B,A33,PEMBAYARAN!F:F))</f>
        <v/>
      </c>
      <c r="L33" s="6" t="str">
        <f t="shared" si="1"/>
        <v/>
      </c>
    </row>
    <row r="34" spans="1:12" x14ac:dyDescent="0.25">
      <c r="A34" t="str">
        <f t="shared" si="0"/>
        <v/>
      </c>
      <c r="F34" s="6"/>
      <c r="G34" s="6"/>
      <c r="H34" s="6"/>
      <c r="I34" s="6"/>
      <c r="J34" s="6"/>
      <c r="K34" s="6" t="str">
        <f>IF(A34="","",SUMIF(PEMBAYARAN!B:B,A34,PEMBAYARAN!F:F))</f>
        <v/>
      </c>
      <c r="L34" s="6" t="str">
        <f t="shared" si="1"/>
        <v/>
      </c>
    </row>
    <row r="35" spans="1:12" x14ac:dyDescent="0.25">
      <c r="A35" t="str">
        <f t="shared" si="0"/>
        <v/>
      </c>
      <c r="F35" s="6"/>
      <c r="G35" s="6"/>
      <c r="H35" s="6"/>
      <c r="I35" s="6"/>
      <c r="J35" s="6"/>
      <c r="K35" s="6" t="str">
        <f>IF(A35="","",SUMIF(PEMBAYARAN!B:B,A35,PEMBAYARAN!F:F))</f>
        <v/>
      </c>
      <c r="L35" s="6" t="str">
        <f t="shared" si="1"/>
        <v/>
      </c>
    </row>
    <row r="36" spans="1:12" x14ac:dyDescent="0.25">
      <c r="A36" t="str">
        <f t="shared" ref="A36:A67" si="2">IF(E36="","","TRX-2026-"&amp;TEXT(ROW()-3,"0000"))</f>
        <v/>
      </c>
      <c r="F36" s="6"/>
      <c r="G36" s="6"/>
      <c r="H36" s="6"/>
      <c r="I36" s="6"/>
      <c r="J36" s="6"/>
      <c r="K36" s="6" t="str">
        <f>IF(A36="","",SUMIF(PEMBAYARAN!B:B,A36,PEMBAYARAN!F:F))</f>
        <v/>
      </c>
      <c r="L36" s="6" t="str">
        <f t="shared" ref="L36:L67" si="3">IF(F36="","",MAX(0,F36-K36))</f>
        <v/>
      </c>
    </row>
    <row r="37" spans="1:12" x14ac:dyDescent="0.25">
      <c r="A37" t="str">
        <f t="shared" si="2"/>
        <v/>
      </c>
      <c r="F37" s="6"/>
      <c r="G37" s="6"/>
      <c r="H37" s="6"/>
      <c r="I37" s="6"/>
      <c r="J37" s="6"/>
      <c r="K37" s="6" t="str">
        <f>IF(A37="","",SUMIF(PEMBAYARAN!B:B,A37,PEMBAYARAN!F:F))</f>
        <v/>
      </c>
      <c r="L37" s="6" t="str">
        <f t="shared" si="3"/>
        <v/>
      </c>
    </row>
    <row r="38" spans="1:12" x14ac:dyDescent="0.25">
      <c r="A38" t="str">
        <f t="shared" si="2"/>
        <v/>
      </c>
      <c r="F38" s="6"/>
      <c r="G38" s="6"/>
      <c r="H38" s="6"/>
      <c r="I38" s="6"/>
      <c r="J38" s="6"/>
      <c r="K38" s="6" t="str">
        <f>IF(A38="","",SUMIF(PEMBAYARAN!B:B,A38,PEMBAYARAN!F:F))</f>
        <v/>
      </c>
      <c r="L38" s="6" t="str">
        <f t="shared" si="3"/>
        <v/>
      </c>
    </row>
    <row r="39" spans="1:12" x14ac:dyDescent="0.25">
      <c r="A39" t="str">
        <f t="shared" si="2"/>
        <v/>
      </c>
      <c r="F39" s="6"/>
      <c r="G39" s="6"/>
      <c r="H39" s="6"/>
      <c r="I39" s="6"/>
      <c r="J39" s="6"/>
      <c r="K39" s="6" t="str">
        <f>IF(A39="","",SUMIF(PEMBAYARAN!B:B,A39,PEMBAYARAN!F:F))</f>
        <v/>
      </c>
      <c r="L39" s="6" t="str">
        <f t="shared" si="3"/>
        <v/>
      </c>
    </row>
    <row r="40" spans="1:12" x14ac:dyDescent="0.25">
      <c r="A40" t="str">
        <f t="shared" si="2"/>
        <v/>
      </c>
      <c r="F40" s="6"/>
      <c r="G40" s="6"/>
      <c r="H40" s="6"/>
      <c r="I40" s="6"/>
      <c r="J40" s="6"/>
      <c r="K40" s="6" t="str">
        <f>IF(A40="","",SUMIF(PEMBAYARAN!B:B,A40,PEMBAYARAN!F:F))</f>
        <v/>
      </c>
      <c r="L40" s="6" t="str">
        <f t="shared" si="3"/>
        <v/>
      </c>
    </row>
    <row r="41" spans="1:12" x14ac:dyDescent="0.25">
      <c r="A41" t="str">
        <f t="shared" si="2"/>
        <v/>
      </c>
      <c r="F41" s="6"/>
      <c r="G41" s="6"/>
      <c r="H41" s="6"/>
      <c r="I41" s="6"/>
      <c r="J41" s="6"/>
      <c r="K41" s="6" t="str">
        <f>IF(A41="","",SUMIF(PEMBAYARAN!B:B,A41,PEMBAYARAN!F:F))</f>
        <v/>
      </c>
      <c r="L41" s="6" t="str">
        <f t="shared" si="3"/>
        <v/>
      </c>
    </row>
    <row r="42" spans="1:12" x14ac:dyDescent="0.25">
      <c r="A42" t="str">
        <f t="shared" si="2"/>
        <v/>
      </c>
      <c r="F42" s="6"/>
      <c r="G42" s="6"/>
      <c r="H42" s="6"/>
      <c r="I42" s="6"/>
      <c r="J42" s="6"/>
      <c r="K42" s="6" t="str">
        <f>IF(A42="","",SUMIF(PEMBAYARAN!B:B,A42,PEMBAYARAN!F:F))</f>
        <v/>
      </c>
      <c r="L42" s="6" t="str">
        <f t="shared" si="3"/>
        <v/>
      </c>
    </row>
    <row r="43" spans="1:12" x14ac:dyDescent="0.25">
      <c r="A43" t="str">
        <f t="shared" si="2"/>
        <v/>
      </c>
      <c r="F43" s="6"/>
      <c r="G43" s="6"/>
      <c r="H43" s="6"/>
      <c r="I43" s="6"/>
      <c r="J43" s="6"/>
      <c r="K43" s="6" t="str">
        <f>IF(A43="","",SUMIF(PEMBAYARAN!B:B,A43,PEMBAYARAN!F:F))</f>
        <v/>
      </c>
      <c r="L43" s="6" t="str">
        <f t="shared" si="3"/>
        <v/>
      </c>
    </row>
    <row r="44" spans="1:12" x14ac:dyDescent="0.25">
      <c r="A44" t="str">
        <f t="shared" si="2"/>
        <v/>
      </c>
      <c r="F44" s="6"/>
      <c r="G44" s="6"/>
      <c r="H44" s="6"/>
      <c r="I44" s="6"/>
      <c r="J44" s="6"/>
      <c r="K44" s="6" t="str">
        <f>IF(A44="","",SUMIF(PEMBAYARAN!B:B,A44,PEMBAYARAN!F:F))</f>
        <v/>
      </c>
      <c r="L44" s="6" t="str">
        <f t="shared" si="3"/>
        <v/>
      </c>
    </row>
    <row r="45" spans="1:12" x14ac:dyDescent="0.25">
      <c r="A45" t="str">
        <f t="shared" si="2"/>
        <v/>
      </c>
      <c r="F45" s="6"/>
      <c r="G45" s="6"/>
      <c r="H45" s="6"/>
      <c r="I45" s="6"/>
      <c r="J45" s="6"/>
      <c r="K45" s="6" t="str">
        <f>IF(A45="","",SUMIF(PEMBAYARAN!B:B,A45,PEMBAYARAN!F:F))</f>
        <v/>
      </c>
      <c r="L45" s="6" t="str">
        <f t="shared" si="3"/>
        <v/>
      </c>
    </row>
    <row r="46" spans="1:12" x14ac:dyDescent="0.25">
      <c r="A46" t="str">
        <f t="shared" si="2"/>
        <v/>
      </c>
      <c r="F46" s="6"/>
      <c r="G46" s="6"/>
      <c r="H46" s="6"/>
      <c r="I46" s="6"/>
      <c r="J46" s="6"/>
      <c r="K46" s="6" t="str">
        <f>IF(A46="","",SUMIF(PEMBAYARAN!B:B,A46,PEMBAYARAN!F:F))</f>
        <v/>
      </c>
      <c r="L46" s="6" t="str">
        <f t="shared" si="3"/>
        <v/>
      </c>
    </row>
    <row r="47" spans="1:12" x14ac:dyDescent="0.25">
      <c r="A47" t="str">
        <f t="shared" si="2"/>
        <v/>
      </c>
      <c r="F47" s="6"/>
      <c r="G47" s="6"/>
      <c r="H47" s="6"/>
      <c r="I47" s="6"/>
      <c r="J47" s="6"/>
      <c r="K47" s="6" t="str">
        <f>IF(A47="","",SUMIF(PEMBAYARAN!B:B,A47,PEMBAYARAN!F:F))</f>
        <v/>
      </c>
      <c r="L47" s="6" t="str">
        <f t="shared" si="3"/>
        <v/>
      </c>
    </row>
    <row r="48" spans="1:12" x14ac:dyDescent="0.25">
      <c r="A48" t="str">
        <f t="shared" si="2"/>
        <v/>
      </c>
      <c r="F48" s="6"/>
      <c r="G48" s="6"/>
      <c r="H48" s="6"/>
      <c r="I48" s="6"/>
      <c r="J48" s="6"/>
      <c r="K48" s="6" t="str">
        <f>IF(A48="","",SUMIF(PEMBAYARAN!B:B,A48,PEMBAYARAN!F:F))</f>
        <v/>
      </c>
      <c r="L48" s="6" t="str">
        <f t="shared" si="3"/>
        <v/>
      </c>
    </row>
    <row r="49" spans="1:12" x14ac:dyDescent="0.25">
      <c r="A49" t="str">
        <f t="shared" si="2"/>
        <v/>
      </c>
      <c r="F49" s="6"/>
      <c r="G49" s="6"/>
      <c r="H49" s="6"/>
      <c r="I49" s="6"/>
      <c r="J49" s="6"/>
      <c r="K49" s="6" t="str">
        <f>IF(A49="","",SUMIF(PEMBAYARAN!B:B,A49,PEMBAYARAN!F:F))</f>
        <v/>
      </c>
      <c r="L49" s="6" t="str">
        <f t="shared" si="3"/>
        <v/>
      </c>
    </row>
    <row r="50" spans="1:12" x14ac:dyDescent="0.25">
      <c r="A50" t="str">
        <f t="shared" si="2"/>
        <v/>
      </c>
      <c r="F50" s="6"/>
      <c r="G50" s="6"/>
      <c r="H50" s="6"/>
      <c r="I50" s="6"/>
      <c r="J50" s="6"/>
      <c r="K50" s="6" t="str">
        <f>IF(A50="","",SUMIF(PEMBAYARAN!B:B,A50,PEMBAYARAN!F:F))</f>
        <v/>
      </c>
      <c r="L50" s="6" t="str">
        <f t="shared" si="3"/>
        <v/>
      </c>
    </row>
    <row r="51" spans="1:12" x14ac:dyDescent="0.25">
      <c r="A51" t="str">
        <f t="shared" si="2"/>
        <v/>
      </c>
      <c r="F51" s="6"/>
      <c r="G51" s="6"/>
      <c r="H51" s="6"/>
      <c r="I51" s="6"/>
      <c r="J51" s="6"/>
      <c r="K51" s="6" t="str">
        <f>IF(A51="","",SUMIF(PEMBAYARAN!B:B,A51,PEMBAYARAN!F:F))</f>
        <v/>
      </c>
      <c r="L51" s="6" t="str">
        <f t="shared" si="3"/>
        <v/>
      </c>
    </row>
    <row r="52" spans="1:12" x14ac:dyDescent="0.25">
      <c r="A52" t="str">
        <f t="shared" si="2"/>
        <v/>
      </c>
      <c r="F52" s="6"/>
      <c r="G52" s="6"/>
      <c r="H52" s="6"/>
      <c r="I52" s="6"/>
      <c r="J52" s="6"/>
      <c r="K52" s="6" t="str">
        <f>IF(A52="","",SUMIF(PEMBAYARAN!B:B,A52,PEMBAYARAN!F:F))</f>
        <v/>
      </c>
      <c r="L52" s="6" t="str">
        <f t="shared" si="3"/>
        <v/>
      </c>
    </row>
    <row r="53" spans="1:12" x14ac:dyDescent="0.25">
      <c r="A53" t="str">
        <f t="shared" si="2"/>
        <v/>
      </c>
      <c r="F53" s="6"/>
      <c r="G53" s="6"/>
      <c r="H53" s="6"/>
      <c r="I53" s="6"/>
      <c r="J53" s="6"/>
      <c r="K53" s="6" t="str">
        <f>IF(A53="","",SUMIF(PEMBAYARAN!B:B,A53,PEMBAYARAN!F:F))</f>
        <v/>
      </c>
      <c r="L53" s="6" t="str">
        <f t="shared" si="3"/>
        <v/>
      </c>
    </row>
    <row r="54" spans="1:12" x14ac:dyDescent="0.25">
      <c r="A54" t="str">
        <f t="shared" si="2"/>
        <v/>
      </c>
      <c r="F54" s="6"/>
      <c r="G54" s="6"/>
      <c r="H54" s="6"/>
      <c r="I54" s="6"/>
      <c r="J54" s="6"/>
      <c r="K54" s="6" t="str">
        <f>IF(A54="","",SUMIF(PEMBAYARAN!B:B,A54,PEMBAYARAN!F:F))</f>
        <v/>
      </c>
      <c r="L54" s="6" t="str">
        <f t="shared" si="3"/>
        <v/>
      </c>
    </row>
    <row r="55" spans="1:12" x14ac:dyDescent="0.25">
      <c r="A55" t="str">
        <f t="shared" si="2"/>
        <v/>
      </c>
      <c r="F55" s="6"/>
      <c r="G55" s="6"/>
      <c r="H55" s="6"/>
      <c r="I55" s="6"/>
      <c r="J55" s="6"/>
      <c r="K55" s="6" t="str">
        <f>IF(A55="","",SUMIF(PEMBAYARAN!B:B,A55,PEMBAYARAN!F:F))</f>
        <v/>
      </c>
      <c r="L55" s="6" t="str">
        <f t="shared" si="3"/>
        <v/>
      </c>
    </row>
    <row r="56" spans="1:12" x14ac:dyDescent="0.25">
      <c r="A56" t="str">
        <f t="shared" si="2"/>
        <v/>
      </c>
      <c r="F56" s="6"/>
      <c r="G56" s="6"/>
      <c r="H56" s="6"/>
      <c r="I56" s="6"/>
      <c r="J56" s="6"/>
      <c r="K56" s="6" t="str">
        <f>IF(A56="","",SUMIF(PEMBAYARAN!B:B,A56,PEMBAYARAN!F:F))</f>
        <v/>
      </c>
      <c r="L56" s="6" t="str">
        <f t="shared" si="3"/>
        <v/>
      </c>
    </row>
    <row r="57" spans="1:12" x14ac:dyDescent="0.25">
      <c r="A57" t="str">
        <f t="shared" si="2"/>
        <v/>
      </c>
      <c r="F57" s="6"/>
      <c r="G57" s="6"/>
      <c r="H57" s="6"/>
      <c r="I57" s="6"/>
      <c r="J57" s="6"/>
      <c r="K57" s="6" t="str">
        <f>IF(A57="","",SUMIF(PEMBAYARAN!B:B,A57,PEMBAYARAN!F:F))</f>
        <v/>
      </c>
      <c r="L57" s="6" t="str">
        <f t="shared" si="3"/>
        <v/>
      </c>
    </row>
    <row r="58" spans="1:12" x14ac:dyDescent="0.25">
      <c r="A58" t="str">
        <f t="shared" si="2"/>
        <v/>
      </c>
      <c r="F58" s="6"/>
      <c r="G58" s="6"/>
      <c r="H58" s="6"/>
      <c r="I58" s="6"/>
      <c r="J58" s="6"/>
      <c r="K58" s="6" t="str">
        <f>IF(A58="","",SUMIF(PEMBAYARAN!B:B,A58,PEMBAYARAN!F:F))</f>
        <v/>
      </c>
      <c r="L58" s="6" t="str">
        <f t="shared" si="3"/>
        <v/>
      </c>
    </row>
    <row r="59" spans="1:12" x14ac:dyDescent="0.25">
      <c r="A59" t="str">
        <f t="shared" si="2"/>
        <v/>
      </c>
      <c r="F59" s="6"/>
      <c r="G59" s="6"/>
      <c r="H59" s="6"/>
      <c r="I59" s="6"/>
      <c r="J59" s="6"/>
      <c r="K59" s="6" t="str">
        <f>IF(A59="","",SUMIF(PEMBAYARAN!B:B,A59,PEMBAYARAN!F:F))</f>
        <v/>
      </c>
      <c r="L59" s="6" t="str">
        <f t="shared" si="3"/>
        <v/>
      </c>
    </row>
    <row r="60" spans="1:12" x14ac:dyDescent="0.25">
      <c r="A60" t="str">
        <f t="shared" si="2"/>
        <v/>
      </c>
      <c r="F60" s="6"/>
      <c r="G60" s="6"/>
      <c r="H60" s="6"/>
      <c r="I60" s="6"/>
      <c r="J60" s="6"/>
      <c r="K60" s="6" t="str">
        <f>IF(A60="","",SUMIF(PEMBAYARAN!B:B,A60,PEMBAYARAN!F:F))</f>
        <v/>
      </c>
      <c r="L60" s="6" t="str">
        <f t="shared" si="3"/>
        <v/>
      </c>
    </row>
    <row r="61" spans="1:12" x14ac:dyDescent="0.25">
      <c r="A61" t="str">
        <f t="shared" si="2"/>
        <v/>
      </c>
      <c r="F61" s="6"/>
      <c r="G61" s="6"/>
      <c r="H61" s="6"/>
      <c r="I61" s="6"/>
      <c r="J61" s="6"/>
      <c r="K61" s="6" t="str">
        <f>IF(A61="","",SUMIF(PEMBAYARAN!B:B,A61,PEMBAYARAN!F:F))</f>
        <v/>
      </c>
      <c r="L61" s="6" t="str">
        <f t="shared" si="3"/>
        <v/>
      </c>
    </row>
    <row r="62" spans="1:12" x14ac:dyDescent="0.25">
      <c r="A62" t="str">
        <f t="shared" si="2"/>
        <v/>
      </c>
      <c r="F62" s="6"/>
      <c r="G62" s="6"/>
      <c r="H62" s="6"/>
      <c r="I62" s="6"/>
      <c r="J62" s="6"/>
      <c r="K62" s="6" t="str">
        <f>IF(A62="","",SUMIF(PEMBAYARAN!B:B,A62,PEMBAYARAN!F:F))</f>
        <v/>
      </c>
      <c r="L62" s="6" t="str">
        <f t="shared" si="3"/>
        <v/>
      </c>
    </row>
    <row r="63" spans="1:12" x14ac:dyDescent="0.25">
      <c r="A63" t="str">
        <f t="shared" si="2"/>
        <v/>
      </c>
      <c r="F63" s="6"/>
      <c r="G63" s="6"/>
      <c r="H63" s="6"/>
      <c r="I63" s="6"/>
      <c r="J63" s="6"/>
      <c r="K63" s="6" t="str">
        <f>IF(A63="","",SUMIF(PEMBAYARAN!B:B,A63,PEMBAYARAN!F:F))</f>
        <v/>
      </c>
      <c r="L63" s="6" t="str">
        <f t="shared" si="3"/>
        <v/>
      </c>
    </row>
    <row r="64" spans="1:12" x14ac:dyDescent="0.25">
      <c r="A64" t="str">
        <f t="shared" si="2"/>
        <v/>
      </c>
      <c r="F64" s="6"/>
      <c r="G64" s="6"/>
      <c r="H64" s="6"/>
      <c r="I64" s="6"/>
      <c r="J64" s="6"/>
      <c r="K64" s="6" t="str">
        <f>IF(A64="","",SUMIF(PEMBAYARAN!B:B,A64,PEMBAYARAN!F:F))</f>
        <v/>
      </c>
      <c r="L64" s="6" t="str">
        <f t="shared" si="3"/>
        <v/>
      </c>
    </row>
    <row r="65" spans="1:12" x14ac:dyDescent="0.25">
      <c r="A65" t="str">
        <f t="shared" si="2"/>
        <v/>
      </c>
      <c r="F65" s="6"/>
      <c r="G65" s="6"/>
      <c r="H65" s="6"/>
      <c r="I65" s="6"/>
      <c r="J65" s="6"/>
      <c r="K65" s="6" t="str">
        <f>IF(A65="","",SUMIF(PEMBAYARAN!B:B,A65,PEMBAYARAN!F:F))</f>
        <v/>
      </c>
      <c r="L65" s="6" t="str">
        <f t="shared" si="3"/>
        <v/>
      </c>
    </row>
    <row r="66" spans="1:12" x14ac:dyDescent="0.25">
      <c r="A66" t="str">
        <f t="shared" si="2"/>
        <v/>
      </c>
      <c r="F66" s="6"/>
      <c r="G66" s="6"/>
      <c r="H66" s="6"/>
      <c r="I66" s="6"/>
      <c r="J66" s="6"/>
      <c r="K66" s="6" t="str">
        <f>IF(A66="","",SUMIF(PEMBAYARAN!B:B,A66,PEMBAYARAN!F:F))</f>
        <v/>
      </c>
      <c r="L66" s="6" t="str">
        <f t="shared" si="3"/>
        <v/>
      </c>
    </row>
    <row r="67" spans="1:12" x14ac:dyDescent="0.25">
      <c r="A67" t="str">
        <f t="shared" si="2"/>
        <v/>
      </c>
      <c r="F67" s="6"/>
      <c r="G67" s="6"/>
      <c r="H67" s="6"/>
      <c r="I67" s="6"/>
      <c r="J67" s="6"/>
      <c r="K67" s="6" t="str">
        <f>IF(A67="","",SUMIF(PEMBAYARAN!B:B,A67,PEMBAYARAN!F:F))</f>
        <v/>
      </c>
      <c r="L67" s="6" t="str">
        <f t="shared" si="3"/>
        <v/>
      </c>
    </row>
    <row r="68" spans="1:12" x14ac:dyDescent="0.25">
      <c r="A68" t="str">
        <f t="shared" ref="A68:A99" si="4">IF(E68="","","TRX-2026-"&amp;TEXT(ROW()-3,"0000"))</f>
        <v/>
      </c>
      <c r="F68" s="6"/>
      <c r="G68" s="6"/>
      <c r="H68" s="6"/>
      <c r="I68" s="6"/>
      <c r="J68" s="6"/>
      <c r="K68" s="6" t="str">
        <f>IF(A68="","",SUMIF(PEMBAYARAN!B:B,A68,PEMBAYARAN!F:F))</f>
        <v/>
      </c>
      <c r="L68" s="6" t="str">
        <f t="shared" ref="L68:L99" si="5">IF(F68="","",MAX(0,F68-K68))</f>
        <v/>
      </c>
    </row>
    <row r="69" spans="1:12" x14ac:dyDescent="0.25">
      <c r="A69" t="str">
        <f t="shared" si="4"/>
        <v/>
      </c>
      <c r="F69" s="6"/>
      <c r="G69" s="6"/>
      <c r="H69" s="6"/>
      <c r="I69" s="6"/>
      <c r="J69" s="6"/>
      <c r="K69" s="6" t="str">
        <f>IF(A69="","",SUMIF(PEMBAYARAN!B:B,A69,PEMBAYARAN!F:F))</f>
        <v/>
      </c>
      <c r="L69" s="6" t="str">
        <f t="shared" si="5"/>
        <v/>
      </c>
    </row>
    <row r="70" spans="1:12" x14ac:dyDescent="0.25">
      <c r="A70" t="str">
        <f t="shared" si="4"/>
        <v/>
      </c>
      <c r="F70" s="6"/>
      <c r="G70" s="6"/>
      <c r="H70" s="6"/>
      <c r="I70" s="6"/>
      <c r="J70" s="6"/>
      <c r="K70" s="6" t="str">
        <f>IF(A70="","",SUMIF(PEMBAYARAN!B:B,A70,PEMBAYARAN!F:F))</f>
        <v/>
      </c>
      <c r="L70" s="6" t="str">
        <f t="shared" si="5"/>
        <v/>
      </c>
    </row>
    <row r="71" spans="1:12" x14ac:dyDescent="0.25">
      <c r="A71" t="str">
        <f t="shared" si="4"/>
        <v/>
      </c>
      <c r="F71" s="6"/>
      <c r="G71" s="6"/>
      <c r="H71" s="6"/>
      <c r="I71" s="6"/>
      <c r="J71" s="6"/>
      <c r="K71" s="6" t="str">
        <f>IF(A71="","",SUMIF(PEMBAYARAN!B:B,A71,PEMBAYARAN!F:F))</f>
        <v/>
      </c>
      <c r="L71" s="6" t="str">
        <f t="shared" si="5"/>
        <v/>
      </c>
    </row>
    <row r="72" spans="1:12" x14ac:dyDescent="0.25">
      <c r="A72" t="str">
        <f t="shared" si="4"/>
        <v/>
      </c>
      <c r="F72" s="6"/>
      <c r="G72" s="6"/>
      <c r="H72" s="6"/>
      <c r="I72" s="6"/>
      <c r="J72" s="6"/>
      <c r="K72" s="6" t="str">
        <f>IF(A72="","",SUMIF(PEMBAYARAN!B:B,A72,PEMBAYARAN!F:F))</f>
        <v/>
      </c>
      <c r="L72" s="6" t="str">
        <f t="shared" si="5"/>
        <v/>
      </c>
    </row>
    <row r="73" spans="1:12" x14ac:dyDescent="0.25">
      <c r="A73" t="str">
        <f t="shared" si="4"/>
        <v/>
      </c>
      <c r="F73" s="6"/>
      <c r="G73" s="6"/>
      <c r="H73" s="6"/>
      <c r="I73" s="6"/>
      <c r="J73" s="6"/>
      <c r="K73" s="6" t="str">
        <f>IF(A73="","",SUMIF(PEMBAYARAN!B:B,A73,PEMBAYARAN!F:F))</f>
        <v/>
      </c>
      <c r="L73" s="6" t="str">
        <f t="shared" si="5"/>
        <v/>
      </c>
    </row>
    <row r="74" spans="1:12" x14ac:dyDescent="0.25">
      <c r="A74" t="str">
        <f t="shared" si="4"/>
        <v/>
      </c>
      <c r="F74" s="6"/>
      <c r="G74" s="6"/>
      <c r="H74" s="6"/>
      <c r="I74" s="6"/>
      <c r="J74" s="6"/>
      <c r="K74" s="6" t="str">
        <f>IF(A74="","",SUMIF(PEMBAYARAN!B:B,A74,PEMBAYARAN!F:F))</f>
        <v/>
      </c>
      <c r="L74" s="6" t="str">
        <f t="shared" si="5"/>
        <v/>
      </c>
    </row>
    <row r="75" spans="1:12" x14ac:dyDescent="0.25">
      <c r="A75" t="str">
        <f t="shared" si="4"/>
        <v/>
      </c>
      <c r="F75" s="6"/>
      <c r="G75" s="6"/>
      <c r="H75" s="6"/>
      <c r="I75" s="6"/>
      <c r="J75" s="6"/>
      <c r="K75" s="6" t="str">
        <f>IF(A75="","",SUMIF(PEMBAYARAN!B:B,A75,PEMBAYARAN!F:F))</f>
        <v/>
      </c>
      <c r="L75" s="6" t="str">
        <f t="shared" si="5"/>
        <v/>
      </c>
    </row>
    <row r="76" spans="1:12" x14ac:dyDescent="0.25">
      <c r="A76" t="str">
        <f t="shared" si="4"/>
        <v/>
      </c>
      <c r="F76" s="6"/>
      <c r="G76" s="6"/>
      <c r="H76" s="6"/>
      <c r="I76" s="6"/>
      <c r="J76" s="6"/>
      <c r="K76" s="6" t="str">
        <f>IF(A76="","",SUMIF(PEMBAYARAN!B:B,A76,PEMBAYARAN!F:F))</f>
        <v/>
      </c>
      <c r="L76" s="6" t="str">
        <f t="shared" si="5"/>
        <v/>
      </c>
    </row>
    <row r="77" spans="1:12" x14ac:dyDescent="0.25">
      <c r="A77" t="str">
        <f t="shared" si="4"/>
        <v/>
      </c>
      <c r="F77" s="6"/>
      <c r="G77" s="6"/>
      <c r="H77" s="6"/>
      <c r="I77" s="6"/>
      <c r="J77" s="6"/>
      <c r="K77" s="6" t="str">
        <f>IF(A77="","",SUMIF(PEMBAYARAN!B:B,A77,PEMBAYARAN!F:F))</f>
        <v/>
      </c>
      <c r="L77" s="6" t="str">
        <f t="shared" si="5"/>
        <v/>
      </c>
    </row>
    <row r="78" spans="1:12" x14ac:dyDescent="0.25">
      <c r="A78" t="str">
        <f t="shared" si="4"/>
        <v/>
      </c>
      <c r="F78" s="6"/>
      <c r="G78" s="6"/>
      <c r="H78" s="6"/>
      <c r="I78" s="6"/>
      <c r="J78" s="6"/>
      <c r="K78" s="6" t="str">
        <f>IF(A78="","",SUMIF(PEMBAYARAN!B:B,A78,PEMBAYARAN!F:F))</f>
        <v/>
      </c>
      <c r="L78" s="6" t="str">
        <f t="shared" si="5"/>
        <v/>
      </c>
    </row>
    <row r="79" spans="1:12" x14ac:dyDescent="0.25">
      <c r="A79" t="str">
        <f t="shared" si="4"/>
        <v/>
      </c>
      <c r="F79" s="6"/>
      <c r="G79" s="6"/>
      <c r="H79" s="6"/>
      <c r="I79" s="6"/>
      <c r="J79" s="6"/>
      <c r="K79" s="6" t="str">
        <f>IF(A79="","",SUMIF(PEMBAYARAN!B:B,A79,PEMBAYARAN!F:F))</f>
        <v/>
      </c>
      <c r="L79" s="6" t="str">
        <f t="shared" si="5"/>
        <v/>
      </c>
    </row>
    <row r="80" spans="1:12" x14ac:dyDescent="0.25">
      <c r="A80" t="str">
        <f t="shared" si="4"/>
        <v/>
      </c>
      <c r="F80" s="6"/>
      <c r="G80" s="6"/>
      <c r="H80" s="6"/>
      <c r="I80" s="6"/>
      <c r="J80" s="6"/>
      <c r="K80" s="6" t="str">
        <f>IF(A80="","",SUMIF(PEMBAYARAN!B:B,A80,PEMBAYARAN!F:F))</f>
        <v/>
      </c>
      <c r="L80" s="6" t="str">
        <f t="shared" si="5"/>
        <v/>
      </c>
    </row>
    <row r="81" spans="1:12" x14ac:dyDescent="0.25">
      <c r="A81" t="str">
        <f t="shared" si="4"/>
        <v/>
      </c>
      <c r="F81" s="6"/>
      <c r="G81" s="6"/>
      <c r="H81" s="6"/>
      <c r="I81" s="6"/>
      <c r="J81" s="6"/>
      <c r="K81" s="6" t="str">
        <f>IF(A81="","",SUMIF(PEMBAYARAN!B:B,A81,PEMBAYARAN!F:F))</f>
        <v/>
      </c>
      <c r="L81" s="6" t="str">
        <f t="shared" si="5"/>
        <v/>
      </c>
    </row>
    <row r="82" spans="1:12" x14ac:dyDescent="0.25">
      <c r="A82" t="str">
        <f t="shared" si="4"/>
        <v/>
      </c>
      <c r="F82" s="6"/>
      <c r="G82" s="6"/>
      <c r="H82" s="6"/>
      <c r="I82" s="6"/>
      <c r="J82" s="6"/>
      <c r="K82" s="6" t="str">
        <f>IF(A82="","",SUMIF(PEMBAYARAN!B:B,A82,PEMBAYARAN!F:F))</f>
        <v/>
      </c>
      <c r="L82" s="6" t="str">
        <f t="shared" si="5"/>
        <v/>
      </c>
    </row>
    <row r="83" spans="1:12" x14ac:dyDescent="0.25">
      <c r="A83" t="str">
        <f t="shared" si="4"/>
        <v/>
      </c>
      <c r="F83" s="6"/>
      <c r="G83" s="6"/>
      <c r="H83" s="6"/>
      <c r="I83" s="6"/>
      <c r="J83" s="6"/>
      <c r="K83" s="6" t="str">
        <f>IF(A83="","",SUMIF(PEMBAYARAN!B:B,A83,PEMBAYARAN!F:F))</f>
        <v/>
      </c>
      <c r="L83" s="6" t="str">
        <f t="shared" si="5"/>
        <v/>
      </c>
    </row>
    <row r="84" spans="1:12" x14ac:dyDescent="0.25">
      <c r="A84" t="str">
        <f t="shared" si="4"/>
        <v/>
      </c>
      <c r="F84" s="6"/>
      <c r="G84" s="6"/>
      <c r="H84" s="6"/>
      <c r="I84" s="6"/>
      <c r="J84" s="6"/>
      <c r="K84" s="6" t="str">
        <f>IF(A84="","",SUMIF(PEMBAYARAN!B:B,A84,PEMBAYARAN!F:F))</f>
        <v/>
      </c>
      <c r="L84" s="6" t="str">
        <f t="shared" si="5"/>
        <v/>
      </c>
    </row>
    <row r="85" spans="1:12" x14ac:dyDescent="0.25">
      <c r="A85" t="str">
        <f t="shared" si="4"/>
        <v/>
      </c>
      <c r="F85" s="6"/>
      <c r="G85" s="6"/>
      <c r="H85" s="6"/>
      <c r="I85" s="6"/>
      <c r="J85" s="6"/>
      <c r="K85" s="6" t="str">
        <f>IF(A85="","",SUMIF(PEMBAYARAN!B:B,A85,PEMBAYARAN!F:F))</f>
        <v/>
      </c>
      <c r="L85" s="6" t="str">
        <f t="shared" si="5"/>
        <v/>
      </c>
    </row>
    <row r="86" spans="1:12" x14ac:dyDescent="0.25">
      <c r="A86" t="str">
        <f t="shared" si="4"/>
        <v/>
      </c>
      <c r="F86" s="6"/>
      <c r="G86" s="6"/>
      <c r="H86" s="6"/>
      <c r="I86" s="6"/>
      <c r="J86" s="6"/>
      <c r="K86" s="6" t="str">
        <f>IF(A86="","",SUMIF(PEMBAYARAN!B:B,A86,PEMBAYARAN!F:F))</f>
        <v/>
      </c>
      <c r="L86" s="6" t="str">
        <f t="shared" si="5"/>
        <v/>
      </c>
    </row>
    <row r="87" spans="1:12" x14ac:dyDescent="0.25">
      <c r="A87" t="str">
        <f t="shared" si="4"/>
        <v/>
      </c>
      <c r="F87" s="6"/>
      <c r="G87" s="6"/>
      <c r="H87" s="6"/>
      <c r="I87" s="6"/>
      <c r="J87" s="6"/>
      <c r="K87" s="6" t="str">
        <f>IF(A87="","",SUMIF(PEMBAYARAN!B:B,A87,PEMBAYARAN!F:F))</f>
        <v/>
      </c>
      <c r="L87" s="6" t="str">
        <f t="shared" si="5"/>
        <v/>
      </c>
    </row>
    <row r="88" spans="1:12" x14ac:dyDescent="0.25">
      <c r="A88" t="str">
        <f t="shared" si="4"/>
        <v/>
      </c>
      <c r="F88" s="6"/>
      <c r="G88" s="6"/>
      <c r="H88" s="6"/>
      <c r="I88" s="6"/>
      <c r="J88" s="6"/>
      <c r="K88" s="6" t="str">
        <f>IF(A88="","",SUMIF(PEMBAYARAN!B:B,A88,PEMBAYARAN!F:F))</f>
        <v/>
      </c>
      <c r="L88" s="6" t="str">
        <f t="shared" si="5"/>
        <v/>
      </c>
    </row>
    <row r="89" spans="1:12" x14ac:dyDescent="0.25">
      <c r="A89" t="str">
        <f t="shared" si="4"/>
        <v/>
      </c>
      <c r="F89" s="6"/>
      <c r="G89" s="6"/>
      <c r="H89" s="6"/>
      <c r="I89" s="6"/>
      <c r="J89" s="6"/>
      <c r="K89" s="6" t="str">
        <f>IF(A89="","",SUMIF(PEMBAYARAN!B:B,A89,PEMBAYARAN!F:F))</f>
        <v/>
      </c>
      <c r="L89" s="6" t="str">
        <f t="shared" si="5"/>
        <v/>
      </c>
    </row>
    <row r="90" spans="1:12" x14ac:dyDescent="0.25">
      <c r="A90" t="str">
        <f t="shared" si="4"/>
        <v/>
      </c>
      <c r="F90" s="6"/>
      <c r="G90" s="6"/>
      <c r="H90" s="6"/>
      <c r="I90" s="6"/>
      <c r="J90" s="6"/>
      <c r="K90" s="6" t="str">
        <f>IF(A90="","",SUMIF(PEMBAYARAN!B:B,A90,PEMBAYARAN!F:F))</f>
        <v/>
      </c>
      <c r="L90" s="6" t="str">
        <f t="shared" si="5"/>
        <v/>
      </c>
    </row>
    <row r="91" spans="1:12" x14ac:dyDescent="0.25">
      <c r="A91" t="str">
        <f t="shared" si="4"/>
        <v/>
      </c>
      <c r="F91" s="6"/>
      <c r="G91" s="6"/>
      <c r="H91" s="6"/>
      <c r="I91" s="6"/>
      <c r="J91" s="6"/>
      <c r="K91" s="6" t="str">
        <f>IF(A91="","",SUMIF(PEMBAYARAN!B:B,A91,PEMBAYARAN!F:F))</f>
        <v/>
      </c>
      <c r="L91" s="6" t="str">
        <f t="shared" si="5"/>
        <v/>
      </c>
    </row>
    <row r="92" spans="1:12" x14ac:dyDescent="0.25">
      <c r="A92" t="str">
        <f t="shared" si="4"/>
        <v/>
      </c>
      <c r="F92" s="6"/>
      <c r="G92" s="6"/>
      <c r="H92" s="6"/>
      <c r="I92" s="6"/>
      <c r="J92" s="6"/>
      <c r="K92" s="6" t="str">
        <f>IF(A92="","",SUMIF(PEMBAYARAN!B:B,A92,PEMBAYARAN!F:F))</f>
        <v/>
      </c>
      <c r="L92" s="6" t="str">
        <f t="shared" si="5"/>
        <v/>
      </c>
    </row>
    <row r="93" spans="1:12" x14ac:dyDescent="0.25">
      <c r="A93" t="str">
        <f t="shared" si="4"/>
        <v/>
      </c>
      <c r="F93" s="6"/>
      <c r="G93" s="6"/>
      <c r="H93" s="6"/>
      <c r="I93" s="6"/>
      <c r="J93" s="6"/>
      <c r="K93" s="6" t="str">
        <f>IF(A93="","",SUMIF(PEMBAYARAN!B:B,A93,PEMBAYARAN!F:F))</f>
        <v/>
      </c>
      <c r="L93" s="6" t="str">
        <f t="shared" si="5"/>
        <v/>
      </c>
    </row>
    <row r="94" spans="1:12" x14ac:dyDescent="0.25">
      <c r="A94" t="str">
        <f t="shared" si="4"/>
        <v/>
      </c>
      <c r="F94" s="6"/>
      <c r="G94" s="6"/>
      <c r="H94" s="6"/>
      <c r="I94" s="6"/>
      <c r="J94" s="6"/>
      <c r="K94" s="6" t="str">
        <f>IF(A94="","",SUMIF(PEMBAYARAN!B:B,A94,PEMBAYARAN!F:F))</f>
        <v/>
      </c>
      <c r="L94" s="6" t="str">
        <f t="shared" si="5"/>
        <v/>
      </c>
    </row>
    <row r="95" spans="1:12" x14ac:dyDescent="0.25">
      <c r="A95" t="str">
        <f t="shared" si="4"/>
        <v/>
      </c>
      <c r="F95" s="6"/>
      <c r="G95" s="6"/>
      <c r="H95" s="6"/>
      <c r="I95" s="6"/>
      <c r="J95" s="6"/>
      <c r="K95" s="6" t="str">
        <f>IF(A95="","",SUMIF(PEMBAYARAN!B:B,A95,PEMBAYARAN!F:F))</f>
        <v/>
      </c>
      <c r="L95" s="6" t="str">
        <f t="shared" si="5"/>
        <v/>
      </c>
    </row>
    <row r="96" spans="1:12" x14ac:dyDescent="0.25">
      <c r="A96" t="str">
        <f t="shared" si="4"/>
        <v/>
      </c>
      <c r="F96" s="6"/>
      <c r="G96" s="6"/>
      <c r="H96" s="6"/>
      <c r="I96" s="6"/>
      <c r="J96" s="6"/>
      <c r="K96" s="6" t="str">
        <f>IF(A96="","",SUMIF(PEMBAYARAN!B:B,A96,PEMBAYARAN!F:F))</f>
        <v/>
      </c>
      <c r="L96" s="6" t="str">
        <f t="shared" si="5"/>
        <v/>
      </c>
    </row>
    <row r="97" spans="1:12" x14ac:dyDescent="0.25">
      <c r="A97" t="str">
        <f t="shared" si="4"/>
        <v/>
      </c>
      <c r="F97" s="6"/>
      <c r="G97" s="6"/>
      <c r="H97" s="6"/>
      <c r="I97" s="6"/>
      <c r="J97" s="6"/>
      <c r="K97" s="6" t="str">
        <f>IF(A97="","",SUMIF(PEMBAYARAN!B:B,A97,PEMBAYARAN!F:F))</f>
        <v/>
      </c>
      <c r="L97" s="6" t="str">
        <f t="shared" si="5"/>
        <v/>
      </c>
    </row>
    <row r="98" spans="1:12" x14ac:dyDescent="0.25">
      <c r="A98" t="str">
        <f t="shared" si="4"/>
        <v/>
      </c>
      <c r="F98" s="6"/>
      <c r="G98" s="6"/>
      <c r="H98" s="6"/>
      <c r="I98" s="6"/>
      <c r="J98" s="6"/>
      <c r="K98" s="6" t="str">
        <f>IF(A98="","",SUMIF(PEMBAYARAN!B:B,A98,PEMBAYARAN!F:F))</f>
        <v/>
      </c>
      <c r="L98" s="6" t="str">
        <f t="shared" si="5"/>
        <v/>
      </c>
    </row>
    <row r="99" spans="1:12" x14ac:dyDescent="0.25">
      <c r="A99" t="str">
        <f t="shared" si="4"/>
        <v/>
      </c>
      <c r="F99" s="6"/>
      <c r="G99" s="6"/>
      <c r="H99" s="6"/>
      <c r="I99" s="6"/>
      <c r="J99" s="6"/>
      <c r="K99" s="6" t="str">
        <f>IF(A99="","",SUMIF(PEMBAYARAN!B:B,A99,PEMBAYARAN!F:F))</f>
        <v/>
      </c>
      <c r="L99" s="6" t="str">
        <f t="shared" si="5"/>
        <v/>
      </c>
    </row>
    <row r="100" spans="1:12" x14ac:dyDescent="0.25">
      <c r="A100" t="str">
        <f t="shared" ref="A100:A131" si="6">IF(E100="","","TRX-2026-"&amp;TEXT(ROW()-3,"0000"))</f>
        <v/>
      </c>
      <c r="F100" s="6"/>
      <c r="G100" s="6"/>
      <c r="H100" s="6"/>
      <c r="I100" s="6"/>
      <c r="J100" s="6"/>
      <c r="K100" s="6" t="str">
        <f>IF(A100="","",SUMIF(PEMBAYARAN!B:B,A100,PEMBAYARAN!F:F))</f>
        <v/>
      </c>
      <c r="L100" s="6" t="str">
        <f t="shared" ref="L100:L131" si="7">IF(F100="","",MAX(0,F100-K100))</f>
        <v/>
      </c>
    </row>
    <row r="101" spans="1:12" x14ac:dyDescent="0.25">
      <c r="A101" t="str">
        <f t="shared" si="6"/>
        <v/>
      </c>
      <c r="F101" s="6"/>
      <c r="G101" s="6"/>
      <c r="H101" s="6"/>
      <c r="I101" s="6"/>
      <c r="J101" s="6"/>
      <c r="K101" s="6" t="str">
        <f>IF(A101="","",SUMIF(PEMBAYARAN!B:B,A101,PEMBAYARAN!F:F))</f>
        <v/>
      </c>
      <c r="L101" s="6" t="str">
        <f t="shared" si="7"/>
        <v/>
      </c>
    </row>
    <row r="102" spans="1:12" x14ac:dyDescent="0.25">
      <c r="A102" t="str">
        <f t="shared" si="6"/>
        <v/>
      </c>
      <c r="F102" s="6"/>
      <c r="G102" s="6"/>
      <c r="H102" s="6"/>
      <c r="I102" s="6"/>
      <c r="J102" s="6"/>
      <c r="K102" s="6" t="str">
        <f>IF(A102="","",SUMIF(PEMBAYARAN!B:B,A102,PEMBAYARAN!F:F))</f>
        <v/>
      </c>
      <c r="L102" s="6" t="str">
        <f t="shared" si="7"/>
        <v/>
      </c>
    </row>
    <row r="103" spans="1:12" x14ac:dyDescent="0.25">
      <c r="A103" t="str">
        <f t="shared" si="6"/>
        <v/>
      </c>
      <c r="F103" s="6"/>
      <c r="G103" s="6"/>
      <c r="H103" s="6"/>
      <c r="I103" s="6"/>
      <c r="J103" s="6"/>
      <c r="K103" s="6" t="str">
        <f>IF(A103="","",SUMIF(PEMBAYARAN!B:B,A103,PEMBAYARAN!F:F))</f>
        <v/>
      </c>
      <c r="L103" s="6" t="str">
        <f t="shared" si="7"/>
        <v/>
      </c>
    </row>
    <row r="104" spans="1:12" x14ac:dyDescent="0.25">
      <c r="A104" t="str">
        <f t="shared" si="6"/>
        <v/>
      </c>
      <c r="F104" s="6"/>
      <c r="G104" s="6"/>
      <c r="H104" s="6"/>
      <c r="I104" s="6"/>
      <c r="J104" s="6"/>
      <c r="K104" s="6" t="str">
        <f>IF(A104="","",SUMIF(PEMBAYARAN!B:B,A104,PEMBAYARAN!F:F))</f>
        <v/>
      </c>
      <c r="L104" s="6" t="str">
        <f t="shared" si="7"/>
        <v/>
      </c>
    </row>
    <row r="105" spans="1:12" x14ac:dyDescent="0.25">
      <c r="A105" t="str">
        <f t="shared" si="6"/>
        <v/>
      </c>
      <c r="F105" s="6"/>
      <c r="G105" s="6"/>
      <c r="H105" s="6"/>
      <c r="I105" s="6"/>
      <c r="J105" s="6"/>
      <c r="K105" s="6" t="str">
        <f>IF(A105="","",SUMIF(PEMBAYARAN!B:B,A105,PEMBAYARAN!F:F))</f>
        <v/>
      </c>
      <c r="L105" s="6" t="str">
        <f t="shared" si="7"/>
        <v/>
      </c>
    </row>
    <row r="106" spans="1:12" x14ac:dyDescent="0.25">
      <c r="A106" t="str">
        <f t="shared" si="6"/>
        <v/>
      </c>
      <c r="F106" s="6"/>
      <c r="G106" s="6"/>
      <c r="H106" s="6"/>
      <c r="I106" s="6"/>
      <c r="J106" s="6"/>
      <c r="K106" s="6" t="str">
        <f>IF(A106="","",SUMIF(PEMBAYARAN!B:B,A106,PEMBAYARAN!F:F))</f>
        <v/>
      </c>
      <c r="L106" s="6" t="str">
        <f t="shared" si="7"/>
        <v/>
      </c>
    </row>
    <row r="107" spans="1:12" x14ac:dyDescent="0.25">
      <c r="A107" t="str">
        <f t="shared" si="6"/>
        <v/>
      </c>
      <c r="F107" s="6"/>
      <c r="G107" s="6"/>
      <c r="H107" s="6"/>
      <c r="I107" s="6"/>
      <c r="J107" s="6"/>
      <c r="K107" s="6" t="str">
        <f>IF(A107="","",SUMIF(PEMBAYARAN!B:B,A107,PEMBAYARAN!F:F))</f>
        <v/>
      </c>
      <c r="L107" s="6" t="str">
        <f t="shared" si="7"/>
        <v/>
      </c>
    </row>
    <row r="108" spans="1:12" x14ac:dyDescent="0.25">
      <c r="A108" t="str">
        <f t="shared" si="6"/>
        <v/>
      </c>
      <c r="F108" s="6"/>
      <c r="G108" s="6"/>
      <c r="H108" s="6"/>
      <c r="I108" s="6"/>
      <c r="J108" s="6"/>
      <c r="K108" s="6" t="str">
        <f>IF(A108="","",SUMIF(PEMBAYARAN!B:B,A108,PEMBAYARAN!F:F))</f>
        <v/>
      </c>
      <c r="L108" s="6" t="str">
        <f t="shared" si="7"/>
        <v/>
      </c>
    </row>
    <row r="109" spans="1:12" x14ac:dyDescent="0.25">
      <c r="A109" t="str">
        <f t="shared" si="6"/>
        <v/>
      </c>
      <c r="F109" s="6"/>
      <c r="G109" s="6"/>
      <c r="H109" s="6"/>
      <c r="I109" s="6"/>
      <c r="J109" s="6"/>
      <c r="K109" s="6" t="str">
        <f>IF(A109="","",SUMIF(PEMBAYARAN!B:B,A109,PEMBAYARAN!F:F))</f>
        <v/>
      </c>
      <c r="L109" s="6" t="str">
        <f t="shared" si="7"/>
        <v/>
      </c>
    </row>
    <row r="110" spans="1:12" x14ac:dyDescent="0.25">
      <c r="A110" t="str">
        <f t="shared" si="6"/>
        <v/>
      </c>
      <c r="F110" s="6"/>
      <c r="G110" s="6"/>
      <c r="H110" s="6"/>
      <c r="I110" s="6"/>
      <c r="J110" s="6"/>
      <c r="K110" s="6" t="str">
        <f>IF(A110="","",SUMIF(PEMBAYARAN!B:B,A110,PEMBAYARAN!F:F))</f>
        <v/>
      </c>
      <c r="L110" s="6" t="str">
        <f t="shared" si="7"/>
        <v/>
      </c>
    </row>
    <row r="111" spans="1:12" x14ac:dyDescent="0.25">
      <c r="A111" t="str">
        <f t="shared" si="6"/>
        <v/>
      </c>
      <c r="F111" s="6"/>
      <c r="G111" s="6"/>
      <c r="H111" s="6"/>
      <c r="I111" s="6"/>
      <c r="J111" s="6"/>
      <c r="K111" s="6" t="str">
        <f>IF(A111="","",SUMIF(PEMBAYARAN!B:B,A111,PEMBAYARAN!F:F))</f>
        <v/>
      </c>
      <c r="L111" s="6" t="str">
        <f t="shared" si="7"/>
        <v/>
      </c>
    </row>
    <row r="112" spans="1:12" x14ac:dyDescent="0.25">
      <c r="A112" t="str">
        <f t="shared" si="6"/>
        <v/>
      </c>
      <c r="F112" s="6"/>
      <c r="G112" s="6"/>
      <c r="H112" s="6"/>
      <c r="I112" s="6"/>
      <c r="J112" s="6"/>
      <c r="K112" s="6" t="str">
        <f>IF(A112="","",SUMIF(PEMBAYARAN!B:B,A112,PEMBAYARAN!F:F))</f>
        <v/>
      </c>
      <c r="L112" s="6" t="str">
        <f t="shared" si="7"/>
        <v/>
      </c>
    </row>
    <row r="113" spans="1:12" x14ac:dyDescent="0.25">
      <c r="A113" t="str">
        <f t="shared" si="6"/>
        <v/>
      </c>
      <c r="F113" s="6"/>
      <c r="G113" s="6"/>
      <c r="H113" s="6"/>
      <c r="I113" s="6"/>
      <c r="J113" s="6"/>
      <c r="K113" s="6" t="str">
        <f>IF(A113="","",SUMIF(PEMBAYARAN!B:B,A113,PEMBAYARAN!F:F))</f>
        <v/>
      </c>
      <c r="L113" s="6" t="str">
        <f t="shared" si="7"/>
        <v/>
      </c>
    </row>
    <row r="114" spans="1:12" x14ac:dyDescent="0.25">
      <c r="A114" t="str">
        <f t="shared" si="6"/>
        <v/>
      </c>
      <c r="F114" s="6"/>
      <c r="G114" s="6"/>
      <c r="H114" s="6"/>
      <c r="I114" s="6"/>
      <c r="J114" s="6"/>
      <c r="K114" s="6" t="str">
        <f>IF(A114="","",SUMIF(PEMBAYARAN!B:B,A114,PEMBAYARAN!F:F))</f>
        <v/>
      </c>
      <c r="L114" s="6" t="str">
        <f t="shared" si="7"/>
        <v/>
      </c>
    </row>
    <row r="115" spans="1:12" x14ac:dyDescent="0.25">
      <c r="A115" t="str">
        <f t="shared" si="6"/>
        <v/>
      </c>
      <c r="F115" s="6"/>
      <c r="G115" s="6"/>
      <c r="H115" s="6"/>
      <c r="I115" s="6"/>
      <c r="J115" s="6"/>
      <c r="K115" s="6" t="str">
        <f>IF(A115="","",SUMIF(PEMBAYARAN!B:B,A115,PEMBAYARAN!F:F))</f>
        <v/>
      </c>
      <c r="L115" s="6" t="str">
        <f t="shared" si="7"/>
        <v/>
      </c>
    </row>
    <row r="116" spans="1:12" x14ac:dyDescent="0.25">
      <c r="A116" t="str">
        <f t="shared" si="6"/>
        <v/>
      </c>
      <c r="F116" s="6"/>
      <c r="G116" s="6"/>
      <c r="H116" s="6"/>
      <c r="I116" s="6"/>
      <c r="J116" s="6"/>
      <c r="K116" s="6" t="str">
        <f>IF(A116="","",SUMIF(PEMBAYARAN!B:B,A116,PEMBAYARAN!F:F))</f>
        <v/>
      </c>
      <c r="L116" s="6" t="str">
        <f t="shared" si="7"/>
        <v/>
      </c>
    </row>
    <row r="117" spans="1:12" x14ac:dyDescent="0.25">
      <c r="A117" t="str">
        <f t="shared" si="6"/>
        <v/>
      </c>
      <c r="F117" s="6"/>
      <c r="G117" s="6"/>
      <c r="H117" s="6"/>
      <c r="I117" s="6"/>
      <c r="J117" s="6"/>
      <c r="K117" s="6" t="str">
        <f>IF(A117="","",SUMIF(PEMBAYARAN!B:B,A117,PEMBAYARAN!F:F))</f>
        <v/>
      </c>
      <c r="L117" s="6" t="str">
        <f t="shared" si="7"/>
        <v/>
      </c>
    </row>
    <row r="118" spans="1:12" x14ac:dyDescent="0.25">
      <c r="A118" t="str">
        <f t="shared" si="6"/>
        <v/>
      </c>
      <c r="F118" s="6"/>
      <c r="G118" s="6"/>
      <c r="H118" s="6"/>
      <c r="I118" s="6"/>
      <c r="J118" s="6"/>
      <c r="K118" s="6" t="str">
        <f>IF(A118="","",SUMIF(PEMBAYARAN!B:B,A118,PEMBAYARAN!F:F))</f>
        <v/>
      </c>
      <c r="L118" s="6" t="str">
        <f t="shared" si="7"/>
        <v/>
      </c>
    </row>
    <row r="119" spans="1:12" x14ac:dyDescent="0.25">
      <c r="A119" t="str">
        <f t="shared" si="6"/>
        <v/>
      </c>
      <c r="F119" s="6"/>
      <c r="G119" s="6"/>
      <c r="H119" s="6"/>
      <c r="I119" s="6"/>
      <c r="J119" s="6"/>
      <c r="K119" s="6" t="str">
        <f>IF(A119="","",SUMIF(PEMBAYARAN!B:B,A119,PEMBAYARAN!F:F))</f>
        <v/>
      </c>
      <c r="L119" s="6" t="str">
        <f t="shared" si="7"/>
        <v/>
      </c>
    </row>
    <row r="120" spans="1:12" x14ac:dyDescent="0.25">
      <c r="A120" t="str">
        <f t="shared" si="6"/>
        <v/>
      </c>
      <c r="F120" s="6"/>
      <c r="G120" s="6"/>
      <c r="H120" s="6"/>
      <c r="I120" s="6"/>
      <c r="J120" s="6"/>
      <c r="K120" s="6" t="str">
        <f>IF(A120="","",SUMIF(PEMBAYARAN!B:B,A120,PEMBAYARAN!F:F))</f>
        <v/>
      </c>
      <c r="L120" s="6" t="str">
        <f t="shared" si="7"/>
        <v/>
      </c>
    </row>
    <row r="121" spans="1:12" x14ac:dyDescent="0.25">
      <c r="A121" t="str">
        <f t="shared" si="6"/>
        <v/>
      </c>
      <c r="F121" s="6"/>
      <c r="G121" s="6"/>
      <c r="H121" s="6"/>
      <c r="I121" s="6"/>
      <c r="J121" s="6"/>
      <c r="K121" s="6" t="str">
        <f>IF(A121="","",SUMIF(PEMBAYARAN!B:B,A121,PEMBAYARAN!F:F))</f>
        <v/>
      </c>
      <c r="L121" s="6" t="str">
        <f t="shared" si="7"/>
        <v/>
      </c>
    </row>
    <row r="122" spans="1:12" x14ac:dyDescent="0.25">
      <c r="A122" t="str">
        <f t="shared" si="6"/>
        <v/>
      </c>
      <c r="F122" s="6"/>
      <c r="G122" s="6"/>
      <c r="H122" s="6"/>
      <c r="I122" s="6"/>
      <c r="J122" s="6"/>
      <c r="K122" s="6" t="str">
        <f>IF(A122="","",SUMIF(PEMBAYARAN!B:B,A122,PEMBAYARAN!F:F))</f>
        <v/>
      </c>
      <c r="L122" s="6" t="str">
        <f t="shared" si="7"/>
        <v/>
      </c>
    </row>
    <row r="123" spans="1:12" x14ac:dyDescent="0.25">
      <c r="A123" t="str">
        <f t="shared" si="6"/>
        <v/>
      </c>
      <c r="F123" s="6"/>
      <c r="G123" s="6"/>
      <c r="H123" s="6"/>
      <c r="I123" s="6"/>
      <c r="J123" s="6"/>
      <c r="K123" s="6" t="str">
        <f>IF(A123="","",SUMIF(PEMBAYARAN!B:B,A123,PEMBAYARAN!F:F))</f>
        <v/>
      </c>
      <c r="L123" s="6" t="str">
        <f t="shared" si="7"/>
        <v/>
      </c>
    </row>
    <row r="124" spans="1:12" x14ac:dyDescent="0.25">
      <c r="A124" t="str">
        <f t="shared" si="6"/>
        <v/>
      </c>
      <c r="F124" s="6"/>
      <c r="G124" s="6"/>
      <c r="H124" s="6"/>
      <c r="I124" s="6"/>
      <c r="J124" s="6"/>
      <c r="K124" s="6" t="str">
        <f>IF(A124="","",SUMIF(PEMBAYARAN!B:B,A124,PEMBAYARAN!F:F))</f>
        <v/>
      </c>
      <c r="L124" s="6" t="str">
        <f t="shared" si="7"/>
        <v/>
      </c>
    </row>
    <row r="125" spans="1:12" x14ac:dyDescent="0.25">
      <c r="A125" t="str">
        <f t="shared" si="6"/>
        <v/>
      </c>
      <c r="F125" s="6"/>
      <c r="G125" s="6"/>
      <c r="H125" s="6"/>
      <c r="I125" s="6"/>
      <c r="J125" s="6"/>
      <c r="K125" s="6" t="str">
        <f>IF(A125="","",SUMIF(PEMBAYARAN!B:B,A125,PEMBAYARAN!F:F))</f>
        <v/>
      </c>
      <c r="L125" s="6" t="str">
        <f t="shared" si="7"/>
        <v/>
      </c>
    </row>
    <row r="126" spans="1:12" x14ac:dyDescent="0.25">
      <c r="A126" t="str">
        <f t="shared" si="6"/>
        <v/>
      </c>
      <c r="F126" s="6"/>
      <c r="G126" s="6"/>
      <c r="H126" s="6"/>
      <c r="I126" s="6"/>
      <c r="J126" s="6"/>
      <c r="K126" s="6" t="str">
        <f>IF(A126="","",SUMIF(PEMBAYARAN!B:B,A126,PEMBAYARAN!F:F))</f>
        <v/>
      </c>
      <c r="L126" s="6" t="str">
        <f t="shared" si="7"/>
        <v/>
      </c>
    </row>
    <row r="127" spans="1:12" x14ac:dyDescent="0.25">
      <c r="A127" t="str">
        <f t="shared" si="6"/>
        <v/>
      </c>
      <c r="F127" s="6"/>
      <c r="G127" s="6"/>
      <c r="H127" s="6"/>
      <c r="I127" s="6"/>
      <c r="J127" s="6"/>
      <c r="K127" s="6" t="str">
        <f>IF(A127="","",SUMIF(PEMBAYARAN!B:B,A127,PEMBAYARAN!F:F))</f>
        <v/>
      </c>
      <c r="L127" s="6" t="str">
        <f t="shared" si="7"/>
        <v/>
      </c>
    </row>
    <row r="128" spans="1:12" x14ac:dyDescent="0.25">
      <c r="A128" t="str">
        <f t="shared" si="6"/>
        <v/>
      </c>
      <c r="F128" s="6"/>
      <c r="G128" s="6"/>
      <c r="H128" s="6"/>
      <c r="I128" s="6"/>
      <c r="J128" s="6"/>
      <c r="K128" s="6" t="str">
        <f>IF(A128="","",SUMIF(PEMBAYARAN!B:B,A128,PEMBAYARAN!F:F))</f>
        <v/>
      </c>
      <c r="L128" s="6" t="str">
        <f t="shared" si="7"/>
        <v/>
      </c>
    </row>
    <row r="129" spans="1:12" x14ac:dyDescent="0.25">
      <c r="A129" t="str">
        <f t="shared" si="6"/>
        <v/>
      </c>
      <c r="F129" s="6"/>
      <c r="G129" s="6"/>
      <c r="H129" s="6"/>
      <c r="I129" s="6"/>
      <c r="J129" s="6"/>
      <c r="K129" s="6" t="str">
        <f>IF(A129="","",SUMIF(PEMBAYARAN!B:B,A129,PEMBAYARAN!F:F))</f>
        <v/>
      </c>
      <c r="L129" s="6" t="str">
        <f t="shared" si="7"/>
        <v/>
      </c>
    </row>
    <row r="130" spans="1:12" x14ac:dyDescent="0.25">
      <c r="A130" t="str">
        <f t="shared" si="6"/>
        <v/>
      </c>
      <c r="F130" s="6"/>
      <c r="G130" s="6"/>
      <c r="H130" s="6"/>
      <c r="I130" s="6"/>
      <c r="J130" s="6"/>
      <c r="K130" s="6" t="str">
        <f>IF(A130="","",SUMIF(PEMBAYARAN!B:B,A130,PEMBAYARAN!F:F))</f>
        <v/>
      </c>
      <c r="L130" s="6" t="str">
        <f t="shared" si="7"/>
        <v/>
      </c>
    </row>
    <row r="131" spans="1:12" x14ac:dyDescent="0.25">
      <c r="A131" t="str">
        <f t="shared" si="6"/>
        <v/>
      </c>
      <c r="F131" s="6"/>
      <c r="G131" s="6"/>
      <c r="H131" s="6"/>
      <c r="I131" s="6"/>
      <c r="J131" s="6"/>
      <c r="K131" s="6" t="str">
        <f>IF(A131="","",SUMIF(PEMBAYARAN!B:B,A131,PEMBAYARAN!F:F))</f>
        <v/>
      </c>
      <c r="L131" s="6" t="str">
        <f t="shared" si="7"/>
        <v/>
      </c>
    </row>
    <row r="132" spans="1:12" x14ac:dyDescent="0.25">
      <c r="A132" t="str">
        <f t="shared" ref="A132:A163" si="8">IF(E132="","","TRX-2026-"&amp;TEXT(ROW()-3,"0000"))</f>
        <v/>
      </c>
      <c r="F132" s="6"/>
      <c r="G132" s="6"/>
      <c r="H132" s="6"/>
      <c r="I132" s="6"/>
      <c r="J132" s="6"/>
      <c r="K132" s="6" t="str">
        <f>IF(A132="","",SUMIF(PEMBAYARAN!B:B,A132,PEMBAYARAN!F:F))</f>
        <v/>
      </c>
      <c r="L132" s="6" t="str">
        <f t="shared" ref="L132:L163" si="9">IF(F132="","",MAX(0,F132-K132))</f>
        <v/>
      </c>
    </row>
    <row r="133" spans="1:12" x14ac:dyDescent="0.25">
      <c r="A133" t="str">
        <f t="shared" si="8"/>
        <v/>
      </c>
      <c r="F133" s="6"/>
      <c r="G133" s="6"/>
      <c r="H133" s="6"/>
      <c r="I133" s="6"/>
      <c r="J133" s="6"/>
      <c r="K133" s="6" t="str">
        <f>IF(A133="","",SUMIF(PEMBAYARAN!B:B,A133,PEMBAYARAN!F:F))</f>
        <v/>
      </c>
      <c r="L133" s="6" t="str">
        <f t="shared" si="9"/>
        <v/>
      </c>
    </row>
    <row r="134" spans="1:12" x14ac:dyDescent="0.25">
      <c r="A134" t="str">
        <f t="shared" si="8"/>
        <v/>
      </c>
      <c r="F134" s="6"/>
      <c r="G134" s="6"/>
      <c r="H134" s="6"/>
      <c r="I134" s="6"/>
      <c r="J134" s="6"/>
      <c r="K134" s="6" t="str">
        <f>IF(A134="","",SUMIF(PEMBAYARAN!B:B,A134,PEMBAYARAN!F:F))</f>
        <v/>
      </c>
      <c r="L134" s="6" t="str">
        <f t="shared" si="9"/>
        <v/>
      </c>
    </row>
    <row r="135" spans="1:12" x14ac:dyDescent="0.25">
      <c r="A135" t="str">
        <f t="shared" si="8"/>
        <v/>
      </c>
      <c r="F135" s="6"/>
      <c r="G135" s="6"/>
      <c r="H135" s="6"/>
      <c r="I135" s="6"/>
      <c r="J135" s="6"/>
      <c r="K135" s="6" t="str">
        <f>IF(A135="","",SUMIF(PEMBAYARAN!B:B,A135,PEMBAYARAN!F:F))</f>
        <v/>
      </c>
      <c r="L135" s="6" t="str">
        <f t="shared" si="9"/>
        <v/>
      </c>
    </row>
    <row r="136" spans="1:12" x14ac:dyDescent="0.25">
      <c r="A136" t="str">
        <f t="shared" si="8"/>
        <v/>
      </c>
      <c r="F136" s="6"/>
      <c r="G136" s="6"/>
      <c r="H136" s="6"/>
      <c r="I136" s="6"/>
      <c r="J136" s="6"/>
      <c r="K136" s="6" t="str">
        <f>IF(A136="","",SUMIF(PEMBAYARAN!B:B,A136,PEMBAYARAN!F:F))</f>
        <v/>
      </c>
      <c r="L136" s="6" t="str">
        <f t="shared" si="9"/>
        <v/>
      </c>
    </row>
    <row r="137" spans="1:12" x14ac:dyDescent="0.25">
      <c r="A137" t="str">
        <f t="shared" si="8"/>
        <v/>
      </c>
      <c r="F137" s="6"/>
      <c r="G137" s="6"/>
      <c r="H137" s="6"/>
      <c r="I137" s="6"/>
      <c r="J137" s="6"/>
      <c r="K137" s="6" t="str">
        <f>IF(A137="","",SUMIF(PEMBAYARAN!B:B,A137,PEMBAYARAN!F:F))</f>
        <v/>
      </c>
      <c r="L137" s="6" t="str">
        <f t="shared" si="9"/>
        <v/>
      </c>
    </row>
    <row r="138" spans="1:12" x14ac:dyDescent="0.25">
      <c r="A138" t="str">
        <f t="shared" si="8"/>
        <v/>
      </c>
      <c r="F138" s="6"/>
      <c r="G138" s="6"/>
      <c r="H138" s="6"/>
      <c r="I138" s="6"/>
      <c r="J138" s="6"/>
      <c r="K138" s="6" t="str">
        <f>IF(A138="","",SUMIF(PEMBAYARAN!B:B,A138,PEMBAYARAN!F:F))</f>
        <v/>
      </c>
      <c r="L138" s="6" t="str">
        <f t="shared" si="9"/>
        <v/>
      </c>
    </row>
    <row r="139" spans="1:12" x14ac:dyDescent="0.25">
      <c r="A139" t="str">
        <f t="shared" si="8"/>
        <v/>
      </c>
      <c r="F139" s="6"/>
      <c r="G139" s="6"/>
      <c r="H139" s="6"/>
      <c r="I139" s="6"/>
      <c r="J139" s="6"/>
      <c r="K139" s="6" t="str">
        <f>IF(A139="","",SUMIF(PEMBAYARAN!B:B,A139,PEMBAYARAN!F:F))</f>
        <v/>
      </c>
      <c r="L139" s="6" t="str">
        <f t="shared" si="9"/>
        <v/>
      </c>
    </row>
    <row r="140" spans="1:12" x14ac:dyDescent="0.25">
      <c r="A140" t="str">
        <f t="shared" si="8"/>
        <v/>
      </c>
      <c r="F140" s="6"/>
      <c r="G140" s="6"/>
      <c r="H140" s="6"/>
      <c r="I140" s="6"/>
      <c r="J140" s="6"/>
      <c r="K140" s="6" t="str">
        <f>IF(A140="","",SUMIF(PEMBAYARAN!B:B,A140,PEMBAYARAN!F:F))</f>
        <v/>
      </c>
      <c r="L140" s="6" t="str">
        <f t="shared" si="9"/>
        <v/>
      </c>
    </row>
    <row r="141" spans="1:12" x14ac:dyDescent="0.25">
      <c r="A141" t="str">
        <f t="shared" si="8"/>
        <v/>
      </c>
      <c r="F141" s="6"/>
      <c r="G141" s="6"/>
      <c r="H141" s="6"/>
      <c r="I141" s="6"/>
      <c r="J141" s="6"/>
      <c r="K141" s="6" t="str">
        <f>IF(A141="","",SUMIF(PEMBAYARAN!B:B,A141,PEMBAYARAN!F:F))</f>
        <v/>
      </c>
      <c r="L141" s="6" t="str">
        <f t="shared" si="9"/>
        <v/>
      </c>
    </row>
    <row r="142" spans="1:12" x14ac:dyDescent="0.25">
      <c r="A142" t="str">
        <f t="shared" si="8"/>
        <v/>
      </c>
      <c r="F142" s="6"/>
      <c r="G142" s="6"/>
      <c r="H142" s="6"/>
      <c r="I142" s="6"/>
      <c r="J142" s="6"/>
      <c r="K142" s="6" t="str">
        <f>IF(A142="","",SUMIF(PEMBAYARAN!B:B,A142,PEMBAYARAN!F:F))</f>
        <v/>
      </c>
      <c r="L142" s="6" t="str">
        <f t="shared" si="9"/>
        <v/>
      </c>
    </row>
    <row r="143" spans="1:12" x14ac:dyDescent="0.25">
      <c r="A143" t="str">
        <f t="shared" si="8"/>
        <v/>
      </c>
      <c r="F143" s="6"/>
      <c r="G143" s="6"/>
      <c r="H143" s="6"/>
      <c r="I143" s="6"/>
      <c r="J143" s="6"/>
      <c r="K143" s="6" t="str">
        <f>IF(A143="","",SUMIF(PEMBAYARAN!B:B,A143,PEMBAYARAN!F:F))</f>
        <v/>
      </c>
      <c r="L143" s="6" t="str">
        <f t="shared" si="9"/>
        <v/>
      </c>
    </row>
    <row r="144" spans="1:12" x14ac:dyDescent="0.25">
      <c r="A144" t="str">
        <f t="shared" si="8"/>
        <v/>
      </c>
      <c r="F144" s="6"/>
      <c r="G144" s="6"/>
      <c r="H144" s="6"/>
      <c r="I144" s="6"/>
      <c r="J144" s="6"/>
      <c r="K144" s="6" t="str">
        <f>IF(A144="","",SUMIF(PEMBAYARAN!B:B,A144,PEMBAYARAN!F:F))</f>
        <v/>
      </c>
      <c r="L144" s="6" t="str">
        <f t="shared" si="9"/>
        <v/>
      </c>
    </row>
    <row r="145" spans="1:12" x14ac:dyDescent="0.25">
      <c r="A145" t="str">
        <f t="shared" si="8"/>
        <v/>
      </c>
      <c r="F145" s="6"/>
      <c r="G145" s="6"/>
      <c r="H145" s="6"/>
      <c r="I145" s="6"/>
      <c r="J145" s="6"/>
      <c r="K145" s="6" t="str">
        <f>IF(A145="","",SUMIF(PEMBAYARAN!B:B,A145,PEMBAYARAN!F:F))</f>
        <v/>
      </c>
      <c r="L145" s="6" t="str">
        <f t="shared" si="9"/>
        <v/>
      </c>
    </row>
    <row r="146" spans="1:12" x14ac:dyDescent="0.25">
      <c r="A146" t="str">
        <f t="shared" si="8"/>
        <v/>
      </c>
      <c r="F146" s="6"/>
      <c r="G146" s="6"/>
      <c r="H146" s="6"/>
      <c r="I146" s="6"/>
      <c r="J146" s="6"/>
      <c r="K146" s="6" t="str">
        <f>IF(A146="","",SUMIF(PEMBAYARAN!B:B,A146,PEMBAYARAN!F:F))</f>
        <v/>
      </c>
      <c r="L146" s="6" t="str">
        <f t="shared" si="9"/>
        <v/>
      </c>
    </row>
    <row r="147" spans="1:12" x14ac:dyDescent="0.25">
      <c r="A147" t="str">
        <f t="shared" si="8"/>
        <v/>
      </c>
      <c r="F147" s="6"/>
      <c r="G147" s="6"/>
      <c r="H147" s="6"/>
      <c r="I147" s="6"/>
      <c r="J147" s="6"/>
      <c r="K147" s="6" t="str">
        <f>IF(A147="","",SUMIF(PEMBAYARAN!B:B,A147,PEMBAYARAN!F:F))</f>
        <v/>
      </c>
      <c r="L147" s="6" t="str">
        <f t="shared" si="9"/>
        <v/>
      </c>
    </row>
    <row r="148" spans="1:12" x14ac:dyDescent="0.25">
      <c r="A148" t="str">
        <f t="shared" si="8"/>
        <v/>
      </c>
      <c r="F148" s="6"/>
      <c r="G148" s="6"/>
      <c r="H148" s="6"/>
      <c r="I148" s="6"/>
      <c r="J148" s="6"/>
      <c r="K148" s="6" t="str">
        <f>IF(A148="","",SUMIF(PEMBAYARAN!B:B,A148,PEMBAYARAN!F:F))</f>
        <v/>
      </c>
      <c r="L148" s="6" t="str">
        <f t="shared" si="9"/>
        <v/>
      </c>
    </row>
    <row r="149" spans="1:12" x14ac:dyDescent="0.25">
      <c r="A149" t="str">
        <f t="shared" si="8"/>
        <v/>
      </c>
      <c r="F149" s="6"/>
      <c r="G149" s="6"/>
      <c r="H149" s="6"/>
      <c r="I149" s="6"/>
      <c r="J149" s="6"/>
      <c r="K149" s="6" t="str">
        <f>IF(A149="","",SUMIF(PEMBAYARAN!B:B,A149,PEMBAYARAN!F:F))</f>
        <v/>
      </c>
      <c r="L149" s="6" t="str">
        <f t="shared" si="9"/>
        <v/>
      </c>
    </row>
    <row r="150" spans="1:12" x14ac:dyDescent="0.25">
      <c r="A150" t="str">
        <f t="shared" si="8"/>
        <v/>
      </c>
      <c r="F150" s="6"/>
      <c r="G150" s="6"/>
      <c r="H150" s="6"/>
      <c r="I150" s="6"/>
      <c r="J150" s="6"/>
      <c r="K150" s="6" t="str">
        <f>IF(A150="","",SUMIF(PEMBAYARAN!B:B,A150,PEMBAYARAN!F:F))</f>
        <v/>
      </c>
      <c r="L150" s="6" t="str">
        <f t="shared" si="9"/>
        <v/>
      </c>
    </row>
    <row r="151" spans="1:12" x14ac:dyDescent="0.25">
      <c r="A151" t="str">
        <f t="shared" si="8"/>
        <v/>
      </c>
      <c r="F151" s="6"/>
      <c r="G151" s="6"/>
      <c r="H151" s="6"/>
      <c r="I151" s="6"/>
      <c r="J151" s="6"/>
      <c r="K151" s="6" t="str">
        <f>IF(A151="","",SUMIF(PEMBAYARAN!B:B,A151,PEMBAYARAN!F:F))</f>
        <v/>
      </c>
      <c r="L151" s="6" t="str">
        <f t="shared" si="9"/>
        <v/>
      </c>
    </row>
    <row r="152" spans="1:12" x14ac:dyDescent="0.25">
      <c r="A152" t="str">
        <f t="shared" si="8"/>
        <v/>
      </c>
      <c r="F152" s="6"/>
      <c r="G152" s="6"/>
      <c r="H152" s="6"/>
      <c r="I152" s="6"/>
      <c r="J152" s="6"/>
      <c r="K152" s="6" t="str">
        <f>IF(A152="","",SUMIF(PEMBAYARAN!B:B,A152,PEMBAYARAN!F:F))</f>
        <v/>
      </c>
      <c r="L152" s="6" t="str">
        <f t="shared" si="9"/>
        <v/>
      </c>
    </row>
    <row r="153" spans="1:12" x14ac:dyDescent="0.25">
      <c r="A153" t="str">
        <f t="shared" si="8"/>
        <v/>
      </c>
      <c r="F153" s="6"/>
      <c r="G153" s="6"/>
      <c r="H153" s="6"/>
      <c r="I153" s="6"/>
      <c r="J153" s="6"/>
      <c r="K153" s="6" t="str">
        <f>IF(A153="","",SUMIF(PEMBAYARAN!B:B,A153,PEMBAYARAN!F:F))</f>
        <v/>
      </c>
      <c r="L153" s="6" t="str">
        <f t="shared" si="9"/>
        <v/>
      </c>
    </row>
    <row r="154" spans="1:12" x14ac:dyDescent="0.25">
      <c r="A154" t="str">
        <f t="shared" si="8"/>
        <v/>
      </c>
      <c r="F154" s="6"/>
      <c r="G154" s="6"/>
      <c r="H154" s="6"/>
      <c r="I154" s="6"/>
      <c r="J154" s="6"/>
      <c r="K154" s="6" t="str">
        <f>IF(A154="","",SUMIF(PEMBAYARAN!B:B,A154,PEMBAYARAN!F:F))</f>
        <v/>
      </c>
      <c r="L154" s="6" t="str">
        <f t="shared" si="9"/>
        <v/>
      </c>
    </row>
    <row r="155" spans="1:12" x14ac:dyDescent="0.25">
      <c r="A155" t="str">
        <f t="shared" si="8"/>
        <v/>
      </c>
      <c r="F155" s="6"/>
      <c r="G155" s="6"/>
      <c r="H155" s="6"/>
      <c r="I155" s="6"/>
      <c r="J155" s="6"/>
      <c r="K155" s="6" t="str">
        <f>IF(A155="","",SUMIF(PEMBAYARAN!B:B,A155,PEMBAYARAN!F:F))</f>
        <v/>
      </c>
      <c r="L155" s="6" t="str">
        <f t="shared" si="9"/>
        <v/>
      </c>
    </row>
    <row r="156" spans="1:12" x14ac:dyDescent="0.25">
      <c r="A156" t="str">
        <f t="shared" si="8"/>
        <v/>
      </c>
      <c r="F156" s="6"/>
      <c r="G156" s="6"/>
      <c r="H156" s="6"/>
      <c r="I156" s="6"/>
      <c r="J156" s="6"/>
      <c r="K156" s="6" t="str">
        <f>IF(A156="","",SUMIF(PEMBAYARAN!B:B,A156,PEMBAYARAN!F:F))</f>
        <v/>
      </c>
      <c r="L156" s="6" t="str">
        <f t="shared" si="9"/>
        <v/>
      </c>
    </row>
    <row r="157" spans="1:12" x14ac:dyDescent="0.25">
      <c r="A157" t="str">
        <f t="shared" si="8"/>
        <v/>
      </c>
      <c r="F157" s="6"/>
      <c r="G157" s="6"/>
      <c r="H157" s="6"/>
      <c r="I157" s="6"/>
      <c r="J157" s="6"/>
      <c r="K157" s="6" t="str">
        <f>IF(A157="","",SUMIF(PEMBAYARAN!B:B,A157,PEMBAYARAN!F:F))</f>
        <v/>
      </c>
      <c r="L157" s="6" t="str">
        <f t="shared" si="9"/>
        <v/>
      </c>
    </row>
    <row r="158" spans="1:12" x14ac:dyDescent="0.25">
      <c r="A158" t="str">
        <f t="shared" si="8"/>
        <v/>
      </c>
      <c r="F158" s="6"/>
      <c r="G158" s="6"/>
      <c r="H158" s="6"/>
      <c r="I158" s="6"/>
      <c r="J158" s="6"/>
      <c r="K158" s="6" t="str">
        <f>IF(A158="","",SUMIF(PEMBAYARAN!B:B,A158,PEMBAYARAN!F:F))</f>
        <v/>
      </c>
      <c r="L158" s="6" t="str">
        <f t="shared" si="9"/>
        <v/>
      </c>
    </row>
    <row r="159" spans="1:12" x14ac:dyDescent="0.25">
      <c r="A159" t="str">
        <f t="shared" si="8"/>
        <v/>
      </c>
      <c r="F159" s="6"/>
      <c r="G159" s="6"/>
      <c r="H159" s="6"/>
      <c r="I159" s="6"/>
      <c r="J159" s="6"/>
      <c r="K159" s="6" t="str">
        <f>IF(A159="","",SUMIF(PEMBAYARAN!B:B,A159,PEMBAYARAN!F:F))</f>
        <v/>
      </c>
      <c r="L159" s="6" t="str">
        <f t="shared" si="9"/>
        <v/>
      </c>
    </row>
    <row r="160" spans="1:12" x14ac:dyDescent="0.25">
      <c r="A160" t="str">
        <f t="shared" si="8"/>
        <v/>
      </c>
      <c r="F160" s="6"/>
      <c r="G160" s="6"/>
      <c r="H160" s="6"/>
      <c r="I160" s="6"/>
      <c r="J160" s="6"/>
      <c r="K160" s="6" t="str">
        <f>IF(A160="","",SUMIF(PEMBAYARAN!B:B,A160,PEMBAYARAN!F:F))</f>
        <v/>
      </c>
      <c r="L160" s="6" t="str">
        <f t="shared" si="9"/>
        <v/>
      </c>
    </row>
    <row r="161" spans="1:12" x14ac:dyDescent="0.25">
      <c r="A161" t="str">
        <f t="shared" si="8"/>
        <v/>
      </c>
      <c r="F161" s="6"/>
      <c r="G161" s="6"/>
      <c r="H161" s="6"/>
      <c r="I161" s="6"/>
      <c r="J161" s="6"/>
      <c r="K161" s="6" t="str">
        <f>IF(A161="","",SUMIF(PEMBAYARAN!B:B,A161,PEMBAYARAN!F:F))</f>
        <v/>
      </c>
      <c r="L161" s="6" t="str">
        <f t="shared" si="9"/>
        <v/>
      </c>
    </row>
    <row r="162" spans="1:12" x14ac:dyDescent="0.25">
      <c r="A162" t="str">
        <f t="shared" si="8"/>
        <v/>
      </c>
      <c r="F162" s="6"/>
      <c r="G162" s="6"/>
      <c r="H162" s="6"/>
      <c r="I162" s="6"/>
      <c r="J162" s="6"/>
      <c r="K162" s="6" t="str">
        <f>IF(A162="","",SUMIF(PEMBAYARAN!B:B,A162,PEMBAYARAN!F:F))</f>
        <v/>
      </c>
      <c r="L162" s="6" t="str">
        <f t="shared" si="9"/>
        <v/>
      </c>
    </row>
    <row r="163" spans="1:12" x14ac:dyDescent="0.25">
      <c r="A163" t="str">
        <f t="shared" si="8"/>
        <v/>
      </c>
      <c r="F163" s="6"/>
      <c r="G163" s="6"/>
      <c r="H163" s="6"/>
      <c r="I163" s="6"/>
      <c r="J163" s="6"/>
      <c r="K163" s="6" t="str">
        <f>IF(A163="","",SUMIF(PEMBAYARAN!B:B,A163,PEMBAYARAN!F:F))</f>
        <v/>
      </c>
      <c r="L163" s="6" t="str">
        <f t="shared" si="9"/>
        <v/>
      </c>
    </row>
    <row r="164" spans="1:12" x14ac:dyDescent="0.25">
      <c r="A164" t="str">
        <f t="shared" ref="A164:A195" si="10">IF(E164="","","TRX-2026-"&amp;TEXT(ROW()-3,"0000"))</f>
        <v/>
      </c>
      <c r="F164" s="6"/>
      <c r="G164" s="6"/>
      <c r="H164" s="6"/>
      <c r="I164" s="6"/>
      <c r="J164" s="6"/>
      <c r="K164" s="6" t="str">
        <f>IF(A164="","",SUMIF(PEMBAYARAN!B:B,A164,PEMBAYARAN!F:F))</f>
        <v/>
      </c>
      <c r="L164" s="6" t="str">
        <f t="shared" ref="L164:L195" si="11">IF(F164="","",MAX(0,F164-K164))</f>
        <v/>
      </c>
    </row>
    <row r="165" spans="1:12" x14ac:dyDescent="0.25">
      <c r="A165" t="str">
        <f t="shared" si="10"/>
        <v/>
      </c>
      <c r="F165" s="6"/>
      <c r="G165" s="6"/>
      <c r="H165" s="6"/>
      <c r="I165" s="6"/>
      <c r="J165" s="6"/>
      <c r="K165" s="6" t="str">
        <f>IF(A165="","",SUMIF(PEMBAYARAN!B:B,A165,PEMBAYARAN!F:F))</f>
        <v/>
      </c>
      <c r="L165" s="6" t="str">
        <f t="shared" si="11"/>
        <v/>
      </c>
    </row>
    <row r="166" spans="1:12" x14ac:dyDescent="0.25">
      <c r="A166" t="str">
        <f t="shared" si="10"/>
        <v/>
      </c>
      <c r="F166" s="6"/>
      <c r="G166" s="6"/>
      <c r="H166" s="6"/>
      <c r="I166" s="6"/>
      <c r="J166" s="6"/>
      <c r="K166" s="6" t="str">
        <f>IF(A166="","",SUMIF(PEMBAYARAN!B:B,A166,PEMBAYARAN!F:F))</f>
        <v/>
      </c>
      <c r="L166" s="6" t="str">
        <f t="shared" si="11"/>
        <v/>
      </c>
    </row>
    <row r="167" spans="1:12" x14ac:dyDescent="0.25">
      <c r="A167" t="str">
        <f t="shared" si="10"/>
        <v/>
      </c>
      <c r="F167" s="6"/>
      <c r="G167" s="6"/>
      <c r="H167" s="6"/>
      <c r="I167" s="6"/>
      <c r="J167" s="6"/>
      <c r="K167" s="6" t="str">
        <f>IF(A167="","",SUMIF(PEMBAYARAN!B:B,A167,PEMBAYARAN!F:F))</f>
        <v/>
      </c>
      <c r="L167" s="6" t="str">
        <f t="shared" si="11"/>
        <v/>
      </c>
    </row>
    <row r="168" spans="1:12" x14ac:dyDescent="0.25">
      <c r="A168" t="str">
        <f t="shared" si="10"/>
        <v/>
      </c>
      <c r="F168" s="6"/>
      <c r="G168" s="6"/>
      <c r="H168" s="6"/>
      <c r="I168" s="6"/>
      <c r="J168" s="6"/>
      <c r="K168" s="6" t="str">
        <f>IF(A168="","",SUMIF(PEMBAYARAN!B:B,A168,PEMBAYARAN!F:F))</f>
        <v/>
      </c>
      <c r="L168" s="6" t="str">
        <f t="shared" si="11"/>
        <v/>
      </c>
    </row>
    <row r="169" spans="1:12" x14ac:dyDescent="0.25">
      <c r="A169" t="str">
        <f t="shared" si="10"/>
        <v/>
      </c>
      <c r="F169" s="6"/>
      <c r="G169" s="6"/>
      <c r="H169" s="6"/>
      <c r="I169" s="6"/>
      <c r="J169" s="6"/>
      <c r="K169" s="6" t="str">
        <f>IF(A169="","",SUMIF(PEMBAYARAN!B:B,A169,PEMBAYARAN!F:F))</f>
        <v/>
      </c>
      <c r="L169" s="6" t="str">
        <f t="shared" si="11"/>
        <v/>
      </c>
    </row>
    <row r="170" spans="1:12" x14ac:dyDescent="0.25">
      <c r="A170" t="str">
        <f t="shared" si="10"/>
        <v/>
      </c>
      <c r="F170" s="6"/>
      <c r="G170" s="6"/>
      <c r="H170" s="6"/>
      <c r="I170" s="6"/>
      <c r="J170" s="6"/>
      <c r="K170" s="6" t="str">
        <f>IF(A170="","",SUMIF(PEMBAYARAN!B:B,A170,PEMBAYARAN!F:F))</f>
        <v/>
      </c>
      <c r="L170" s="6" t="str">
        <f t="shared" si="11"/>
        <v/>
      </c>
    </row>
    <row r="171" spans="1:12" x14ac:dyDescent="0.25">
      <c r="A171" t="str">
        <f t="shared" si="10"/>
        <v/>
      </c>
      <c r="F171" s="6"/>
      <c r="G171" s="6"/>
      <c r="H171" s="6"/>
      <c r="I171" s="6"/>
      <c r="J171" s="6"/>
      <c r="K171" s="6" t="str">
        <f>IF(A171="","",SUMIF(PEMBAYARAN!B:B,A171,PEMBAYARAN!F:F))</f>
        <v/>
      </c>
      <c r="L171" s="6" t="str">
        <f t="shared" si="11"/>
        <v/>
      </c>
    </row>
    <row r="172" spans="1:12" x14ac:dyDescent="0.25">
      <c r="A172" t="str">
        <f t="shared" si="10"/>
        <v/>
      </c>
      <c r="F172" s="6"/>
      <c r="G172" s="6"/>
      <c r="H172" s="6"/>
      <c r="I172" s="6"/>
      <c r="J172" s="6"/>
      <c r="K172" s="6" t="str">
        <f>IF(A172="","",SUMIF(PEMBAYARAN!B:B,A172,PEMBAYARAN!F:F))</f>
        <v/>
      </c>
      <c r="L172" s="6" t="str">
        <f t="shared" si="11"/>
        <v/>
      </c>
    </row>
    <row r="173" spans="1:12" x14ac:dyDescent="0.25">
      <c r="A173" t="str">
        <f t="shared" si="10"/>
        <v/>
      </c>
      <c r="F173" s="6"/>
      <c r="G173" s="6"/>
      <c r="H173" s="6"/>
      <c r="I173" s="6"/>
      <c r="J173" s="6"/>
      <c r="K173" s="6" t="str">
        <f>IF(A173="","",SUMIF(PEMBAYARAN!B:B,A173,PEMBAYARAN!F:F))</f>
        <v/>
      </c>
      <c r="L173" s="6" t="str">
        <f t="shared" si="11"/>
        <v/>
      </c>
    </row>
    <row r="174" spans="1:12" x14ac:dyDescent="0.25">
      <c r="A174" t="str">
        <f t="shared" si="10"/>
        <v/>
      </c>
      <c r="F174" s="6"/>
      <c r="G174" s="6"/>
      <c r="H174" s="6"/>
      <c r="I174" s="6"/>
      <c r="J174" s="6"/>
      <c r="K174" s="6" t="str">
        <f>IF(A174="","",SUMIF(PEMBAYARAN!B:B,A174,PEMBAYARAN!F:F))</f>
        <v/>
      </c>
      <c r="L174" s="6" t="str">
        <f t="shared" si="11"/>
        <v/>
      </c>
    </row>
    <row r="175" spans="1:12" x14ac:dyDescent="0.25">
      <c r="A175" t="str">
        <f t="shared" si="10"/>
        <v/>
      </c>
      <c r="F175" s="6"/>
      <c r="G175" s="6"/>
      <c r="H175" s="6"/>
      <c r="I175" s="6"/>
      <c r="J175" s="6"/>
      <c r="K175" s="6" t="str">
        <f>IF(A175="","",SUMIF(PEMBAYARAN!B:B,A175,PEMBAYARAN!F:F))</f>
        <v/>
      </c>
      <c r="L175" s="6" t="str">
        <f t="shared" si="11"/>
        <v/>
      </c>
    </row>
    <row r="176" spans="1:12" x14ac:dyDescent="0.25">
      <c r="A176" t="str">
        <f t="shared" si="10"/>
        <v/>
      </c>
      <c r="F176" s="6"/>
      <c r="G176" s="6"/>
      <c r="H176" s="6"/>
      <c r="I176" s="6"/>
      <c r="J176" s="6"/>
      <c r="K176" s="6" t="str">
        <f>IF(A176="","",SUMIF(PEMBAYARAN!B:B,A176,PEMBAYARAN!F:F))</f>
        <v/>
      </c>
      <c r="L176" s="6" t="str">
        <f t="shared" si="11"/>
        <v/>
      </c>
    </row>
    <row r="177" spans="1:12" x14ac:dyDescent="0.25">
      <c r="A177" t="str">
        <f t="shared" si="10"/>
        <v/>
      </c>
      <c r="F177" s="6"/>
      <c r="G177" s="6"/>
      <c r="H177" s="6"/>
      <c r="I177" s="6"/>
      <c r="J177" s="6"/>
      <c r="K177" s="6" t="str">
        <f>IF(A177="","",SUMIF(PEMBAYARAN!B:B,A177,PEMBAYARAN!F:F))</f>
        <v/>
      </c>
      <c r="L177" s="6" t="str">
        <f t="shared" si="11"/>
        <v/>
      </c>
    </row>
    <row r="178" spans="1:12" x14ac:dyDescent="0.25">
      <c r="A178" t="str">
        <f t="shared" si="10"/>
        <v/>
      </c>
      <c r="F178" s="6"/>
      <c r="G178" s="6"/>
      <c r="H178" s="6"/>
      <c r="I178" s="6"/>
      <c r="J178" s="6"/>
      <c r="K178" s="6" t="str">
        <f>IF(A178="","",SUMIF(PEMBAYARAN!B:B,A178,PEMBAYARAN!F:F))</f>
        <v/>
      </c>
      <c r="L178" s="6" t="str">
        <f t="shared" si="11"/>
        <v/>
      </c>
    </row>
    <row r="179" spans="1:12" x14ac:dyDescent="0.25">
      <c r="A179" t="str">
        <f t="shared" si="10"/>
        <v/>
      </c>
      <c r="F179" s="6"/>
      <c r="G179" s="6"/>
      <c r="H179" s="6"/>
      <c r="I179" s="6"/>
      <c r="J179" s="6"/>
      <c r="K179" s="6" t="str">
        <f>IF(A179="","",SUMIF(PEMBAYARAN!B:B,A179,PEMBAYARAN!F:F))</f>
        <v/>
      </c>
      <c r="L179" s="6" t="str">
        <f t="shared" si="11"/>
        <v/>
      </c>
    </row>
    <row r="180" spans="1:12" x14ac:dyDescent="0.25">
      <c r="A180" t="str">
        <f t="shared" si="10"/>
        <v/>
      </c>
      <c r="F180" s="6"/>
      <c r="G180" s="6"/>
      <c r="H180" s="6"/>
      <c r="I180" s="6"/>
      <c r="J180" s="6"/>
      <c r="K180" s="6" t="str">
        <f>IF(A180="","",SUMIF(PEMBAYARAN!B:B,A180,PEMBAYARAN!F:F))</f>
        <v/>
      </c>
      <c r="L180" s="6" t="str">
        <f t="shared" si="11"/>
        <v/>
      </c>
    </row>
    <row r="181" spans="1:12" x14ac:dyDescent="0.25">
      <c r="A181" t="str">
        <f t="shared" si="10"/>
        <v/>
      </c>
      <c r="F181" s="6"/>
      <c r="G181" s="6"/>
      <c r="H181" s="6"/>
      <c r="I181" s="6"/>
      <c r="J181" s="6"/>
      <c r="K181" s="6" t="str">
        <f>IF(A181="","",SUMIF(PEMBAYARAN!B:B,A181,PEMBAYARAN!F:F))</f>
        <v/>
      </c>
      <c r="L181" s="6" t="str">
        <f t="shared" si="11"/>
        <v/>
      </c>
    </row>
    <row r="182" spans="1:12" x14ac:dyDescent="0.25">
      <c r="A182" t="str">
        <f t="shared" si="10"/>
        <v/>
      </c>
      <c r="F182" s="6"/>
      <c r="G182" s="6"/>
      <c r="H182" s="6"/>
      <c r="I182" s="6"/>
      <c r="J182" s="6"/>
      <c r="K182" s="6" t="str">
        <f>IF(A182="","",SUMIF(PEMBAYARAN!B:B,A182,PEMBAYARAN!F:F))</f>
        <v/>
      </c>
      <c r="L182" s="6" t="str">
        <f t="shared" si="11"/>
        <v/>
      </c>
    </row>
    <row r="183" spans="1:12" x14ac:dyDescent="0.25">
      <c r="A183" t="str">
        <f t="shared" si="10"/>
        <v/>
      </c>
      <c r="F183" s="6"/>
      <c r="G183" s="6"/>
      <c r="H183" s="6"/>
      <c r="I183" s="6"/>
      <c r="J183" s="6"/>
      <c r="K183" s="6" t="str">
        <f>IF(A183="","",SUMIF(PEMBAYARAN!B:B,A183,PEMBAYARAN!F:F))</f>
        <v/>
      </c>
      <c r="L183" s="6" t="str">
        <f t="shared" si="11"/>
        <v/>
      </c>
    </row>
    <row r="184" spans="1:12" x14ac:dyDescent="0.25">
      <c r="A184" t="str">
        <f t="shared" si="10"/>
        <v/>
      </c>
      <c r="F184" s="6"/>
      <c r="G184" s="6"/>
      <c r="H184" s="6"/>
      <c r="I184" s="6"/>
      <c r="J184" s="6"/>
      <c r="K184" s="6" t="str">
        <f>IF(A184="","",SUMIF(PEMBAYARAN!B:B,A184,PEMBAYARAN!F:F))</f>
        <v/>
      </c>
      <c r="L184" s="6" t="str">
        <f t="shared" si="11"/>
        <v/>
      </c>
    </row>
    <row r="185" spans="1:12" x14ac:dyDescent="0.25">
      <c r="A185" t="str">
        <f t="shared" si="10"/>
        <v/>
      </c>
      <c r="F185" s="6"/>
      <c r="G185" s="6"/>
      <c r="H185" s="6"/>
      <c r="I185" s="6"/>
      <c r="J185" s="6"/>
      <c r="K185" s="6" t="str">
        <f>IF(A185="","",SUMIF(PEMBAYARAN!B:B,A185,PEMBAYARAN!F:F))</f>
        <v/>
      </c>
      <c r="L185" s="6" t="str">
        <f t="shared" si="11"/>
        <v/>
      </c>
    </row>
    <row r="186" spans="1:12" x14ac:dyDescent="0.25">
      <c r="A186" t="str">
        <f t="shared" si="10"/>
        <v/>
      </c>
      <c r="F186" s="6"/>
      <c r="G186" s="6"/>
      <c r="H186" s="6"/>
      <c r="I186" s="6"/>
      <c r="J186" s="6"/>
      <c r="K186" s="6" t="str">
        <f>IF(A186="","",SUMIF(PEMBAYARAN!B:B,A186,PEMBAYARAN!F:F))</f>
        <v/>
      </c>
      <c r="L186" s="6" t="str">
        <f t="shared" si="11"/>
        <v/>
      </c>
    </row>
    <row r="187" spans="1:12" x14ac:dyDescent="0.25">
      <c r="A187" t="str">
        <f t="shared" si="10"/>
        <v/>
      </c>
      <c r="F187" s="6"/>
      <c r="G187" s="6"/>
      <c r="H187" s="6"/>
      <c r="I187" s="6"/>
      <c r="J187" s="6"/>
      <c r="K187" s="6" t="str">
        <f>IF(A187="","",SUMIF(PEMBAYARAN!B:B,A187,PEMBAYARAN!F:F))</f>
        <v/>
      </c>
      <c r="L187" s="6" t="str">
        <f t="shared" si="11"/>
        <v/>
      </c>
    </row>
    <row r="188" spans="1:12" x14ac:dyDescent="0.25">
      <c r="A188" t="str">
        <f t="shared" si="10"/>
        <v/>
      </c>
      <c r="F188" s="6"/>
      <c r="G188" s="6"/>
      <c r="H188" s="6"/>
      <c r="I188" s="6"/>
      <c r="J188" s="6"/>
      <c r="K188" s="6" t="str">
        <f>IF(A188="","",SUMIF(PEMBAYARAN!B:B,A188,PEMBAYARAN!F:F))</f>
        <v/>
      </c>
      <c r="L188" s="6" t="str">
        <f t="shared" si="11"/>
        <v/>
      </c>
    </row>
    <row r="189" spans="1:12" x14ac:dyDescent="0.25">
      <c r="A189" t="str">
        <f t="shared" si="10"/>
        <v/>
      </c>
      <c r="F189" s="6"/>
      <c r="G189" s="6"/>
      <c r="H189" s="6"/>
      <c r="I189" s="6"/>
      <c r="J189" s="6"/>
      <c r="K189" s="6" t="str">
        <f>IF(A189="","",SUMIF(PEMBAYARAN!B:B,A189,PEMBAYARAN!F:F))</f>
        <v/>
      </c>
      <c r="L189" s="6" t="str">
        <f t="shared" si="11"/>
        <v/>
      </c>
    </row>
    <row r="190" spans="1:12" x14ac:dyDescent="0.25">
      <c r="A190" t="str">
        <f t="shared" si="10"/>
        <v/>
      </c>
      <c r="F190" s="6"/>
      <c r="G190" s="6"/>
      <c r="H190" s="6"/>
      <c r="I190" s="6"/>
      <c r="J190" s="6"/>
      <c r="K190" s="6" t="str">
        <f>IF(A190="","",SUMIF(PEMBAYARAN!B:B,A190,PEMBAYARAN!F:F))</f>
        <v/>
      </c>
      <c r="L190" s="6" t="str">
        <f t="shared" si="11"/>
        <v/>
      </c>
    </row>
    <row r="191" spans="1:12" x14ac:dyDescent="0.25">
      <c r="A191" t="str">
        <f t="shared" si="10"/>
        <v/>
      </c>
      <c r="F191" s="6"/>
      <c r="G191" s="6"/>
      <c r="H191" s="6"/>
      <c r="I191" s="6"/>
      <c r="J191" s="6"/>
      <c r="K191" s="6" t="str">
        <f>IF(A191="","",SUMIF(PEMBAYARAN!B:B,A191,PEMBAYARAN!F:F))</f>
        <v/>
      </c>
      <c r="L191" s="6" t="str">
        <f t="shared" si="11"/>
        <v/>
      </c>
    </row>
    <row r="192" spans="1:12" x14ac:dyDescent="0.25">
      <c r="A192" t="str">
        <f t="shared" si="10"/>
        <v/>
      </c>
      <c r="F192" s="6"/>
      <c r="G192" s="6"/>
      <c r="H192" s="6"/>
      <c r="I192" s="6"/>
      <c r="J192" s="6"/>
      <c r="K192" s="6" t="str">
        <f>IF(A192="","",SUMIF(PEMBAYARAN!B:B,A192,PEMBAYARAN!F:F))</f>
        <v/>
      </c>
      <c r="L192" s="6" t="str">
        <f t="shared" si="11"/>
        <v/>
      </c>
    </row>
    <row r="193" spans="1:12" x14ac:dyDescent="0.25">
      <c r="A193" t="str">
        <f t="shared" si="10"/>
        <v/>
      </c>
      <c r="F193" s="6"/>
      <c r="G193" s="6"/>
      <c r="H193" s="6"/>
      <c r="I193" s="6"/>
      <c r="J193" s="6"/>
      <c r="K193" s="6" t="str">
        <f>IF(A193="","",SUMIF(PEMBAYARAN!B:B,A193,PEMBAYARAN!F:F))</f>
        <v/>
      </c>
      <c r="L193" s="6" t="str">
        <f t="shared" si="11"/>
        <v/>
      </c>
    </row>
    <row r="194" spans="1:12" x14ac:dyDescent="0.25">
      <c r="A194" t="str">
        <f t="shared" si="10"/>
        <v/>
      </c>
      <c r="F194" s="6"/>
      <c r="G194" s="6"/>
      <c r="H194" s="6"/>
      <c r="I194" s="6"/>
      <c r="J194" s="6"/>
      <c r="K194" s="6" t="str">
        <f>IF(A194="","",SUMIF(PEMBAYARAN!B:B,A194,PEMBAYARAN!F:F))</f>
        <v/>
      </c>
      <c r="L194" s="6" t="str">
        <f t="shared" si="11"/>
        <v/>
      </c>
    </row>
    <row r="195" spans="1:12" x14ac:dyDescent="0.25">
      <c r="A195" t="str">
        <f t="shared" si="10"/>
        <v/>
      </c>
      <c r="F195" s="6"/>
      <c r="G195" s="6"/>
      <c r="H195" s="6"/>
      <c r="I195" s="6"/>
      <c r="J195" s="6"/>
      <c r="K195" s="6" t="str">
        <f>IF(A195="","",SUMIF(PEMBAYARAN!B:B,A195,PEMBAYARAN!F:F))</f>
        <v/>
      </c>
      <c r="L195" s="6" t="str">
        <f t="shared" si="11"/>
        <v/>
      </c>
    </row>
    <row r="196" spans="1:12" x14ac:dyDescent="0.25">
      <c r="A196" t="str">
        <f t="shared" ref="A196:A203" si="12">IF(E196="","","TRX-2026-"&amp;TEXT(ROW()-3,"0000"))</f>
        <v/>
      </c>
      <c r="F196" s="6"/>
      <c r="G196" s="6"/>
      <c r="H196" s="6"/>
      <c r="I196" s="6"/>
      <c r="J196" s="6"/>
      <c r="K196" s="6" t="str">
        <f>IF(A196="","",SUMIF(PEMBAYARAN!B:B,A196,PEMBAYARAN!F:F))</f>
        <v/>
      </c>
      <c r="L196" s="6" t="str">
        <f t="shared" ref="L196:L227" si="13">IF(F196="","",MAX(0,F196-K196))</f>
        <v/>
      </c>
    </row>
    <row r="197" spans="1:12" x14ac:dyDescent="0.25">
      <c r="A197" t="str">
        <f t="shared" si="12"/>
        <v/>
      </c>
      <c r="F197" s="6"/>
      <c r="G197" s="6"/>
      <c r="H197" s="6"/>
      <c r="I197" s="6"/>
      <c r="J197" s="6"/>
      <c r="K197" s="6" t="str">
        <f>IF(A197="","",SUMIF(PEMBAYARAN!B:B,A197,PEMBAYARAN!F:F))</f>
        <v/>
      </c>
      <c r="L197" s="6" t="str">
        <f t="shared" si="13"/>
        <v/>
      </c>
    </row>
    <row r="198" spans="1:12" x14ac:dyDescent="0.25">
      <c r="A198" t="str">
        <f t="shared" si="12"/>
        <v/>
      </c>
      <c r="F198" s="6"/>
      <c r="G198" s="6"/>
      <c r="H198" s="6"/>
      <c r="I198" s="6"/>
      <c r="J198" s="6"/>
      <c r="K198" s="6" t="str">
        <f>IF(A198="","",SUMIF(PEMBAYARAN!B:B,A198,PEMBAYARAN!F:F))</f>
        <v/>
      </c>
      <c r="L198" s="6" t="str">
        <f t="shared" si="13"/>
        <v/>
      </c>
    </row>
    <row r="199" spans="1:12" x14ac:dyDescent="0.25">
      <c r="A199" t="str">
        <f t="shared" si="12"/>
        <v/>
      </c>
      <c r="F199" s="6"/>
      <c r="G199" s="6"/>
      <c r="H199" s="6"/>
      <c r="I199" s="6"/>
      <c r="J199" s="6"/>
      <c r="K199" s="6" t="str">
        <f>IF(A199="","",SUMIF(PEMBAYARAN!B:B,A199,PEMBAYARAN!F:F))</f>
        <v/>
      </c>
      <c r="L199" s="6" t="str">
        <f t="shared" si="13"/>
        <v/>
      </c>
    </row>
    <row r="200" spans="1:12" x14ac:dyDescent="0.25">
      <c r="A200" t="str">
        <f t="shared" si="12"/>
        <v/>
      </c>
      <c r="F200" s="6"/>
      <c r="G200" s="6"/>
      <c r="H200" s="6"/>
      <c r="I200" s="6"/>
      <c r="J200" s="6"/>
      <c r="K200" s="6" t="str">
        <f>IF(A200="","",SUMIF(PEMBAYARAN!B:B,A200,PEMBAYARAN!F:F))</f>
        <v/>
      </c>
      <c r="L200" s="6" t="str">
        <f t="shared" si="13"/>
        <v/>
      </c>
    </row>
    <row r="201" spans="1:12" x14ac:dyDescent="0.25">
      <c r="A201" t="str">
        <f t="shared" si="12"/>
        <v/>
      </c>
      <c r="F201" s="6"/>
      <c r="G201" s="6"/>
      <c r="H201" s="6"/>
      <c r="I201" s="6"/>
      <c r="J201" s="6"/>
      <c r="K201" s="6" t="str">
        <f>IF(A201="","",SUMIF(PEMBAYARAN!B:B,A201,PEMBAYARAN!F:F))</f>
        <v/>
      </c>
      <c r="L201" s="6" t="str">
        <f t="shared" si="13"/>
        <v/>
      </c>
    </row>
    <row r="202" spans="1:12" x14ac:dyDescent="0.25">
      <c r="A202" t="str">
        <f t="shared" si="12"/>
        <v/>
      </c>
      <c r="F202" s="6"/>
      <c r="G202" s="6"/>
      <c r="H202" s="6"/>
      <c r="I202" s="6"/>
      <c r="J202" s="6"/>
      <c r="K202" s="6" t="str">
        <f>IF(A202="","",SUMIF(PEMBAYARAN!B:B,A202,PEMBAYARAN!F:F))</f>
        <v/>
      </c>
      <c r="L202" s="6" t="str">
        <f t="shared" si="13"/>
        <v/>
      </c>
    </row>
    <row r="203" spans="1:12" x14ac:dyDescent="0.25">
      <c r="A203" t="str">
        <f t="shared" si="12"/>
        <v/>
      </c>
      <c r="F203" s="6"/>
      <c r="G203" s="6"/>
      <c r="H203" s="6"/>
      <c r="I203" s="6"/>
      <c r="J203" s="6"/>
      <c r="K203" s="6" t="str">
        <f>IF(A203="","",SUMIF(PEMBAYARAN!B:B,A203,PEMBAYARAN!F:F))</f>
        <v/>
      </c>
      <c r="L203" s="6" t="str">
        <f t="shared" si="13"/>
        <v/>
      </c>
    </row>
  </sheetData>
  <autoFilter ref="A1:N203" xr:uid="{00000000-0009-0000-0000-000006000000}"/>
  <mergeCells count="1">
    <mergeCell ref="A1:N1"/>
  </mergeCells>
  <dataValidations count="1">
    <dataValidation type="list" allowBlank="1" sqref="N4:N203" xr:uid="{00000000-0002-0000-0600-000000000000}">
      <formula1>"Prospek,Reservasi,Booking,Akad,Terjual,Lunas,Batal"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03"/>
  <sheetViews>
    <sheetView showGridLines="0" workbookViewId="0">
      <pane ySplit="2" topLeftCell="A3" activePane="bottomLeft" state="frozen"/>
      <selection pane="bottomLeft" activeCell="A4" sqref="A4:I24"/>
    </sheetView>
  </sheetViews>
  <sheetFormatPr defaultRowHeight="15" x14ac:dyDescent="0.25"/>
  <cols>
    <col min="1" max="1" width="14" customWidth="1"/>
    <col min="2" max="2" width="18" customWidth="1"/>
    <col min="3" max="3" width="17" customWidth="1"/>
    <col min="4" max="4" width="24" customWidth="1"/>
    <col min="5" max="5" width="18" customWidth="1"/>
    <col min="6" max="7" width="16" customWidth="1"/>
    <col min="8" max="8" width="18" customWidth="1"/>
    <col min="9" max="9" width="35" customWidth="1"/>
  </cols>
  <sheetData>
    <row r="1" spans="1:9" ht="21" x14ac:dyDescent="0.35">
      <c r="A1" s="10" t="s">
        <v>166</v>
      </c>
      <c r="B1" s="11"/>
      <c r="C1" s="11"/>
      <c r="D1" s="11"/>
      <c r="E1" s="11"/>
      <c r="F1" s="11"/>
      <c r="G1" s="11"/>
      <c r="H1" s="11"/>
      <c r="I1" s="11"/>
    </row>
    <row r="3" spans="1:9" x14ac:dyDescent="0.25">
      <c r="A3" s="12" t="s">
        <v>160</v>
      </c>
      <c r="B3" s="12" t="s">
        <v>159</v>
      </c>
      <c r="C3" s="12" t="s">
        <v>91</v>
      </c>
      <c r="D3" s="12" t="s">
        <v>141</v>
      </c>
      <c r="E3" s="12" t="s">
        <v>167</v>
      </c>
      <c r="F3" s="12" t="s">
        <v>168</v>
      </c>
      <c r="G3" s="12" t="s">
        <v>169</v>
      </c>
      <c r="H3" s="12" t="s">
        <v>170</v>
      </c>
      <c r="I3" s="12" t="s">
        <v>93</v>
      </c>
    </row>
    <row r="4" spans="1:9" x14ac:dyDescent="0.25">
      <c r="A4" s="13"/>
      <c r="B4" s="13"/>
      <c r="C4" s="13"/>
      <c r="D4" s="13"/>
      <c r="E4" s="13"/>
      <c r="F4" s="17"/>
      <c r="G4" s="13"/>
      <c r="H4" s="13"/>
      <c r="I4" s="13"/>
    </row>
    <row r="5" spans="1:9" x14ac:dyDescent="0.25">
      <c r="A5" s="13"/>
      <c r="B5" s="13"/>
      <c r="C5" s="13"/>
      <c r="D5" s="13"/>
      <c r="E5" s="13"/>
      <c r="F5" s="17"/>
      <c r="G5" s="13"/>
      <c r="H5" s="13"/>
      <c r="I5" s="13"/>
    </row>
    <row r="6" spans="1:9" x14ac:dyDescent="0.25">
      <c r="A6" s="13"/>
      <c r="B6" s="13"/>
      <c r="C6" s="13"/>
      <c r="D6" s="13"/>
      <c r="E6" s="13"/>
      <c r="F6" s="17"/>
      <c r="G6" s="13"/>
      <c r="H6" s="13"/>
      <c r="I6" s="13"/>
    </row>
    <row r="7" spans="1:9" x14ac:dyDescent="0.25">
      <c r="A7" s="13"/>
      <c r="B7" s="13"/>
      <c r="C7" s="13"/>
      <c r="D7" s="13"/>
      <c r="E7" s="13"/>
      <c r="F7" s="17"/>
      <c r="G7" s="13"/>
      <c r="H7" s="13"/>
      <c r="I7" s="13"/>
    </row>
    <row r="8" spans="1:9" x14ac:dyDescent="0.25">
      <c r="A8" s="13"/>
      <c r="B8" s="13"/>
      <c r="C8" s="13"/>
      <c r="D8" s="13"/>
      <c r="E8" s="13"/>
      <c r="F8" s="17"/>
      <c r="G8" s="13"/>
      <c r="H8" s="13"/>
      <c r="I8" s="13"/>
    </row>
    <row r="9" spans="1:9" x14ac:dyDescent="0.25">
      <c r="A9" s="13"/>
      <c r="B9" s="13"/>
      <c r="C9" s="13"/>
      <c r="D9" s="13"/>
      <c r="E9" s="13"/>
      <c r="F9" s="17"/>
      <c r="G9" s="13"/>
      <c r="H9" s="13"/>
      <c r="I9" s="13"/>
    </row>
    <row r="10" spans="1:9" x14ac:dyDescent="0.25">
      <c r="A10" s="13"/>
      <c r="B10" s="13"/>
      <c r="C10" s="13"/>
      <c r="D10" s="13"/>
      <c r="E10" s="13"/>
      <c r="F10" s="17"/>
      <c r="G10" s="13"/>
      <c r="H10" s="13"/>
      <c r="I10" s="13"/>
    </row>
    <row r="11" spans="1:9" x14ac:dyDescent="0.25">
      <c r="A11" s="13"/>
      <c r="B11" s="13"/>
      <c r="C11" s="13"/>
      <c r="D11" s="13"/>
      <c r="E11" s="13"/>
      <c r="F11" s="17"/>
      <c r="G11" s="13"/>
      <c r="H11" s="13"/>
      <c r="I11" s="13"/>
    </row>
    <row r="12" spans="1:9" x14ac:dyDescent="0.25">
      <c r="A12" s="13"/>
      <c r="B12" s="13"/>
      <c r="C12" s="13"/>
      <c r="D12" s="13"/>
      <c r="E12" s="13"/>
      <c r="F12" s="17"/>
      <c r="G12" s="13"/>
      <c r="H12" s="13"/>
      <c r="I12" s="13"/>
    </row>
    <row r="13" spans="1:9" x14ac:dyDescent="0.25">
      <c r="A13" s="13"/>
      <c r="B13" s="13"/>
      <c r="C13" s="13"/>
      <c r="D13" s="13"/>
      <c r="E13" s="13"/>
      <c r="F13" s="17"/>
      <c r="G13" s="13"/>
      <c r="H13" s="13"/>
      <c r="I13" s="13"/>
    </row>
    <row r="14" spans="1:9" x14ac:dyDescent="0.25">
      <c r="A14" s="13"/>
      <c r="B14" s="13"/>
      <c r="C14" s="13"/>
      <c r="D14" s="13"/>
      <c r="E14" s="13"/>
      <c r="F14" s="17"/>
      <c r="G14" s="13"/>
      <c r="H14" s="13"/>
      <c r="I14" s="13"/>
    </row>
    <row r="15" spans="1:9" x14ac:dyDescent="0.25">
      <c r="A15" s="13"/>
      <c r="B15" s="13"/>
      <c r="C15" s="13"/>
      <c r="D15" s="13"/>
      <c r="E15" s="13"/>
      <c r="F15" s="17"/>
      <c r="G15" s="13"/>
      <c r="H15" s="13"/>
      <c r="I15" s="13"/>
    </row>
    <row r="16" spans="1:9" x14ac:dyDescent="0.25">
      <c r="A16" s="13"/>
      <c r="B16" s="13"/>
      <c r="C16" s="13"/>
      <c r="D16" s="13"/>
      <c r="E16" s="13"/>
      <c r="F16" s="17"/>
      <c r="G16" s="13"/>
      <c r="H16" s="13"/>
      <c r="I16" s="13"/>
    </row>
    <row r="17" spans="1:9" x14ac:dyDescent="0.25">
      <c r="A17" s="13"/>
      <c r="B17" s="13"/>
      <c r="C17" s="13"/>
      <c r="D17" s="13"/>
      <c r="E17" s="13"/>
      <c r="F17" s="17"/>
      <c r="G17" s="13"/>
      <c r="H17" s="13"/>
      <c r="I17" s="13"/>
    </row>
    <row r="18" spans="1:9" x14ac:dyDescent="0.25">
      <c r="A18" s="13"/>
      <c r="B18" s="13"/>
      <c r="C18" s="13"/>
      <c r="D18" s="13"/>
      <c r="E18" s="13"/>
      <c r="F18" s="17"/>
      <c r="G18" s="13"/>
      <c r="H18" s="13"/>
      <c r="I18" s="13"/>
    </row>
    <row r="19" spans="1:9" x14ac:dyDescent="0.25">
      <c r="A19" s="13"/>
      <c r="B19" s="13"/>
      <c r="C19" s="13"/>
      <c r="D19" s="13"/>
      <c r="E19" s="13"/>
      <c r="F19" s="17"/>
      <c r="G19" s="13"/>
      <c r="H19" s="13"/>
      <c r="I19" s="13"/>
    </row>
    <row r="20" spans="1:9" x14ac:dyDescent="0.25">
      <c r="A20" s="13"/>
      <c r="B20" s="13"/>
      <c r="C20" s="13"/>
      <c r="D20" s="13"/>
      <c r="E20" s="13"/>
      <c r="F20" s="17"/>
      <c r="G20" s="13"/>
      <c r="H20" s="13"/>
      <c r="I20" s="13"/>
    </row>
    <row r="21" spans="1:9" x14ac:dyDescent="0.25">
      <c r="A21" s="13"/>
      <c r="B21" s="13"/>
      <c r="C21" s="13"/>
      <c r="D21" s="13"/>
      <c r="E21" s="13"/>
      <c r="F21" s="17"/>
      <c r="G21" s="13"/>
      <c r="H21" s="13"/>
      <c r="I21" s="13"/>
    </row>
    <row r="22" spans="1:9" x14ac:dyDescent="0.25">
      <c r="A22" s="13"/>
      <c r="B22" s="13"/>
      <c r="C22" s="13"/>
      <c r="D22" s="13"/>
      <c r="E22" s="13"/>
      <c r="F22" s="17"/>
      <c r="G22" s="13"/>
      <c r="H22" s="13"/>
      <c r="I22" s="13"/>
    </row>
    <row r="23" spans="1:9" x14ac:dyDescent="0.25">
      <c r="A23" s="13"/>
      <c r="B23" s="13"/>
      <c r="C23" s="13"/>
      <c r="D23" s="13"/>
      <c r="E23" s="13"/>
      <c r="F23" s="17"/>
      <c r="G23" s="13"/>
      <c r="H23" s="13"/>
      <c r="I23" s="13"/>
    </row>
    <row r="24" spans="1:9" x14ac:dyDescent="0.25">
      <c r="A24" s="13"/>
      <c r="B24" s="13"/>
      <c r="C24" s="13"/>
      <c r="D24" s="13"/>
      <c r="E24" s="13"/>
      <c r="F24" s="17"/>
      <c r="G24" s="13"/>
      <c r="H24" s="13"/>
      <c r="I24" s="13"/>
    </row>
    <row r="25" spans="1:9" x14ac:dyDescent="0.25">
      <c r="F25" s="6"/>
    </row>
    <row r="26" spans="1:9" x14ac:dyDescent="0.25">
      <c r="F26" s="6"/>
    </row>
    <row r="27" spans="1:9" x14ac:dyDescent="0.25">
      <c r="F27" s="6"/>
    </row>
    <row r="28" spans="1:9" x14ac:dyDescent="0.25">
      <c r="F28" s="6"/>
    </row>
    <row r="29" spans="1:9" x14ac:dyDescent="0.25">
      <c r="F29" s="6"/>
    </row>
    <row r="30" spans="1:9" x14ac:dyDescent="0.25">
      <c r="F30" s="6"/>
    </row>
    <row r="31" spans="1:9" x14ac:dyDescent="0.25">
      <c r="F31" s="6"/>
    </row>
    <row r="32" spans="1:9" x14ac:dyDescent="0.25">
      <c r="F32" s="6"/>
    </row>
    <row r="33" spans="6:6" x14ac:dyDescent="0.25">
      <c r="F33" s="6"/>
    </row>
    <row r="34" spans="6:6" x14ac:dyDescent="0.25">
      <c r="F34" s="6"/>
    </row>
    <row r="35" spans="6:6" x14ac:dyDescent="0.25">
      <c r="F35" s="6"/>
    </row>
    <row r="36" spans="6:6" x14ac:dyDescent="0.25">
      <c r="F36" s="6"/>
    </row>
    <row r="37" spans="6:6" x14ac:dyDescent="0.25">
      <c r="F37" s="6"/>
    </row>
    <row r="38" spans="6:6" x14ac:dyDescent="0.25">
      <c r="F38" s="6"/>
    </row>
    <row r="39" spans="6:6" x14ac:dyDescent="0.25">
      <c r="F39" s="6"/>
    </row>
    <row r="40" spans="6:6" x14ac:dyDescent="0.25">
      <c r="F40" s="6"/>
    </row>
    <row r="41" spans="6:6" x14ac:dyDescent="0.25">
      <c r="F41" s="6"/>
    </row>
    <row r="42" spans="6:6" x14ac:dyDescent="0.25">
      <c r="F42" s="6"/>
    </row>
    <row r="43" spans="6:6" x14ac:dyDescent="0.25">
      <c r="F43" s="6"/>
    </row>
    <row r="44" spans="6:6" x14ac:dyDescent="0.25">
      <c r="F44" s="6"/>
    </row>
    <row r="45" spans="6:6" x14ac:dyDescent="0.25">
      <c r="F45" s="6"/>
    </row>
    <row r="46" spans="6:6" x14ac:dyDescent="0.25">
      <c r="F46" s="6"/>
    </row>
    <row r="47" spans="6:6" x14ac:dyDescent="0.25">
      <c r="F47" s="6"/>
    </row>
    <row r="48" spans="6:6" x14ac:dyDescent="0.25">
      <c r="F48" s="6"/>
    </row>
    <row r="49" spans="6:6" x14ac:dyDescent="0.25">
      <c r="F49" s="6"/>
    </row>
    <row r="50" spans="6:6" x14ac:dyDescent="0.25">
      <c r="F50" s="6"/>
    </row>
    <row r="51" spans="6:6" x14ac:dyDescent="0.25">
      <c r="F51" s="6"/>
    </row>
    <row r="52" spans="6:6" x14ac:dyDescent="0.25">
      <c r="F52" s="6"/>
    </row>
    <row r="53" spans="6:6" x14ac:dyDescent="0.25">
      <c r="F53" s="6"/>
    </row>
    <row r="54" spans="6:6" x14ac:dyDescent="0.25">
      <c r="F54" s="6"/>
    </row>
    <row r="55" spans="6:6" x14ac:dyDescent="0.25">
      <c r="F55" s="6"/>
    </row>
    <row r="56" spans="6:6" x14ac:dyDescent="0.25">
      <c r="F56" s="6"/>
    </row>
    <row r="57" spans="6:6" x14ac:dyDescent="0.25">
      <c r="F57" s="6"/>
    </row>
    <row r="58" spans="6:6" x14ac:dyDescent="0.25">
      <c r="F58" s="6"/>
    </row>
    <row r="59" spans="6:6" x14ac:dyDescent="0.25">
      <c r="F59" s="6"/>
    </row>
    <row r="60" spans="6:6" x14ac:dyDescent="0.25">
      <c r="F60" s="6"/>
    </row>
    <row r="61" spans="6:6" x14ac:dyDescent="0.25">
      <c r="F61" s="6"/>
    </row>
    <row r="62" spans="6:6" x14ac:dyDescent="0.25">
      <c r="F62" s="6"/>
    </row>
    <row r="63" spans="6:6" x14ac:dyDescent="0.25">
      <c r="F63" s="6"/>
    </row>
    <row r="64" spans="6:6" x14ac:dyDescent="0.25">
      <c r="F64" s="6"/>
    </row>
    <row r="65" spans="6:6" x14ac:dyDescent="0.25">
      <c r="F65" s="6"/>
    </row>
    <row r="66" spans="6:6" x14ac:dyDescent="0.25">
      <c r="F66" s="6"/>
    </row>
    <row r="67" spans="6:6" x14ac:dyDescent="0.25">
      <c r="F67" s="6"/>
    </row>
    <row r="68" spans="6:6" x14ac:dyDescent="0.25">
      <c r="F68" s="6"/>
    </row>
    <row r="69" spans="6:6" x14ac:dyDescent="0.25">
      <c r="F69" s="6"/>
    </row>
    <row r="70" spans="6:6" x14ac:dyDescent="0.25">
      <c r="F70" s="6"/>
    </row>
    <row r="71" spans="6:6" x14ac:dyDescent="0.25">
      <c r="F71" s="6"/>
    </row>
    <row r="72" spans="6:6" x14ac:dyDescent="0.25">
      <c r="F72" s="6"/>
    </row>
    <row r="73" spans="6:6" x14ac:dyDescent="0.25">
      <c r="F73" s="6"/>
    </row>
    <row r="74" spans="6:6" x14ac:dyDescent="0.25">
      <c r="F74" s="6"/>
    </row>
    <row r="75" spans="6:6" x14ac:dyDescent="0.25">
      <c r="F75" s="6"/>
    </row>
    <row r="76" spans="6:6" x14ac:dyDescent="0.25">
      <c r="F76" s="6"/>
    </row>
    <row r="77" spans="6:6" x14ac:dyDescent="0.25">
      <c r="F77" s="6"/>
    </row>
    <row r="78" spans="6:6" x14ac:dyDescent="0.25">
      <c r="F78" s="6"/>
    </row>
    <row r="79" spans="6:6" x14ac:dyDescent="0.25">
      <c r="F79" s="6"/>
    </row>
    <row r="80" spans="6:6" x14ac:dyDescent="0.25">
      <c r="F80" s="6"/>
    </row>
    <row r="81" spans="6:6" x14ac:dyDescent="0.25">
      <c r="F81" s="6"/>
    </row>
    <row r="82" spans="6:6" x14ac:dyDescent="0.25">
      <c r="F82" s="6"/>
    </row>
    <row r="83" spans="6:6" x14ac:dyDescent="0.25">
      <c r="F83" s="6"/>
    </row>
    <row r="84" spans="6:6" x14ac:dyDescent="0.25">
      <c r="F84" s="6"/>
    </row>
    <row r="85" spans="6:6" x14ac:dyDescent="0.25">
      <c r="F85" s="6"/>
    </row>
    <row r="86" spans="6:6" x14ac:dyDescent="0.25">
      <c r="F86" s="6"/>
    </row>
    <row r="87" spans="6:6" x14ac:dyDescent="0.25">
      <c r="F87" s="6"/>
    </row>
    <row r="88" spans="6:6" x14ac:dyDescent="0.25">
      <c r="F88" s="6"/>
    </row>
    <row r="89" spans="6:6" x14ac:dyDescent="0.25">
      <c r="F89" s="6"/>
    </row>
    <row r="90" spans="6:6" x14ac:dyDescent="0.25">
      <c r="F90" s="6"/>
    </row>
    <row r="91" spans="6:6" x14ac:dyDescent="0.25">
      <c r="F91" s="6"/>
    </row>
    <row r="92" spans="6:6" x14ac:dyDescent="0.25">
      <c r="F92" s="6"/>
    </row>
    <row r="93" spans="6:6" x14ac:dyDescent="0.25">
      <c r="F93" s="6"/>
    </row>
    <row r="94" spans="6:6" x14ac:dyDescent="0.25">
      <c r="F94" s="6"/>
    </row>
    <row r="95" spans="6:6" x14ac:dyDescent="0.25">
      <c r="F95" s="6"/>
    </row>
    <row r="96" spans="6:6" x14ac:dyDescent="0.25">
      <c r="F96" s="6"/>
    </row>
    <row r="97" spans="6:6" x14ac:dyDescent="0.25">
      <c r="F97" s="6"/>
    </row>
    <row r="98" spans="6:6" x14ac:dyDescent="0.25">
      <c r="F98" s="6"/>
    </row>
    <row r="99" spans="6:6" x14ac:dyDescent="0.25">
      <c r="F99" s="6"/>
    </row>
    <row r="100" spans="6:6" x14ac:dyDescent="0.25">
      <c r="F100" s="6"/>
    </row>
    <row r="101" spans="6:6" x14ac:dyDescent="0.25">
      <c r="F101" s="6"/>
    </row>
    <row r="102" spans="6:6" x14ac:dyDescent="0.25">
      <c r="F102" s="6"/>
    </row>
    <row r="103" spans="6:6" x14ac:dyDescent="0.25">
      <c r="F103" s="6"/>
    </row>
    <row r="104" spans="6:6" x14ac:dyDescent="0.25">
      <c r="F104" s="6"/>
    </row>
    <row r="105" spans="6:6" x14ac:dyDescent="0.25">
      <c r="F105" s="6"/>
    </row>
    <row r="106" spans="6:6" x14ac:dyDescent="0.25">
      <c r="F106" s="6"/>
    </row>
    <row r="107" spans="6:6" x14ac:dyDescent="0.25">
      <c r="F107" s="6"/>
    </row>
    <row r="108" spans="6:6" x14ac:dyDescent="0.25">
      <c r="F108" s="6"/>
    </row>
    <row r="109" spans="6:6" x14ac:dyDescent="0.25">
      <c r="F109" s="6"/>
    </row>
    <row r="110" spans="6:6" x14ac:dyDescent="0.25">
      <c r="F110" s="6"/>
    </row>
    <row r="111" spans="6:6" x14ac:dyDescent="0.25">
      <c r="F111" s="6"/>
    </row>
    <row r="112" spans="6:6" x14ac:dyDescent="0.25">
      <c r="F112" s="6"/>
    </row>
    <row r="113" spans="6:6" x14ac:dyDescent="0.25">
      <c r="F113" s="6"/>
    </row>
    <row r="114" spans="6:6" x14ac:dyDescent="0.25">
      <c r="F114" s="6"/>
    </row>
    <row r="115" spans="6:6" x14ac:dyDescent="0.25">
      <c r="F115" s="6"/>
    </row>
    <row r="116" spans="6:6" x14ac:dyDescent="0.25">
      <c r="F116" s="6"/>
    </row>
    <row r="117" spans="6:6" x14ac:dyDescent="0.25">
      <c r="F117" s="6"/>
    </row>
    <row r="118" spans="6:6" x14ac:dyDescent="0.25">
      <c r="F118" s="6"/>
    </row>
    <row r="119" spans="6:6" x14ac:dyDescent="0.25">
      <c r="F119" s="6"/>
    </row>
    <row r="120" spans="6:6" x14ac:dyDescent="0.25">
      <c r="F120" s="6"/>
    </row>
    <row r="121" spans="6:6" x14ac:dyDescent="0.25">
      <c r="F121" s="6"/>
    </row>
    <row r="122" spans="6:6" x14ac:dyDescent="0.25">
      <c r="F122" s="6"/>
    </row>
    <row r="123" spans="6:6" x14ac:dyDescent="0.25">
      <c r="F123" s="6"/>
    </row>
    <row r="124" spans="6:6" x14ac:dyDescent="0.25">
      <c r="F124" s="6"/>
    </row>
    <row r="125" spans="6:6" x14ac:dyDescent="0.25">
      <c r="F125" s="6"/>
    </row>
    <row r="126" spans="6:6" x14ac:dyDescent="0.25">
      <c r="F126" s="6"/>
    </row>
    <row r="127" spans="6:6" x14ac:dyDescent="0.25">
      <c r="F127" s="6"/>
    </row>
    <row r="128" spans="6:6" x14ac:dyDescent="0.25">
      <c r="F128" s="6"/>
    </row>
    <row r="129" spans="6:6" x14ac:dyDescent="0.25">
      <c r="F129" s="6"/>
    </row>
    <row r="130" spans="6:6" x14ac:dyDescent="0.25">
      <c r="F130" s="6"/>
    </row>
    <row r="131" spans="6:6" x14ac:dyDescent="0.25">
      <c r="F131" s="6"/>
    </row>
    <row r="132" spans="6:6" x14ac:dyDescent="0.25">
      <c r="F132" s="6"/>
    </row>
    <row r="133" spans="6:6" x14ac:dyDescent="0.25">
      <c r="F133" s="6"/>
    </row>
    <row r="134" spans="6:6" x14ac:dyDescent="0.25">
      <c r="F134" s="6"/>
    </row>
    <row r="135" spans="6:6" x14ac:dyDescent="0.25">
      <c r="F135" s="6"/>
    </row>
    <row r="136" spans="6:6" x14ac:dyDescent="0.25">
      <c r="F136" s="6"/>
    </row>
    <row r="137" spans="6:6" x14ac:dyDescent="0.25">
      <c r="F137" s="6"/>
    </row>
    <row r="138" spans="6:6" x14ac:dyDescent="0.25">
      <c r="F138" s="6"/>
    </row>
    <row r="139" spans="6:6" x14ac:dyDescent="0.25">
      <c r="F139" s="6"/>
    </row>
    <row r="140" spans="6:6" x14ac:dyDescent="0.25">
      <c r="F140" s="6"/>
    </row>
    <row r="141" spans="6:6" x14ac:dyDescent="0.25">
      <c r="F141" s="6"/>
    </row>
    <row r="142" spans="6:6" x14ac:dyDescent="0.25">
      <c r="F142" s="6"/>
    </row>
    <row r="143" spans="6:6" x14ac:dyDescent="0.25">
      <c r="F143" s="6"/>
    </row>
    <row r="144" spans="6:6" x14ac:dyDescent="0.25">
      <c r="F144" s="6"/>
    </row>
    <row r="145" spans="6:6" x14ac:dyDescent="0.25">
      <c r="F145" s="6"/>
    </row>
    <row r="146" spans="6:6" x14ac:dyDescent="0.25">
      <c r="F146" s="6"/>
    </row>
    <row r="147" spans="6:6" x14ac:dyDescent="0.25">
      <c r="F147" s="6"/>
    </row>
    <row r="148" spans="6:6" x14ac:dyDescent="0.25">
      <c r="F148" s="6"/>
    </row>
    <row r="149" spans="6:6" x14ac:dyDescent="0.25">
      <c r="F149" s="6"/>
    </row>
    <row r="150" spans="6:6" x14ac:dyDescent="0.25">
      <c r="F150" s="6"/>
    </row>
    <row r="151" spans="6:6" x14ac:dyDescent="0.25">
      <c r="F151" s="6"/>
    </row>
    <row r="152" spans="6:6" x14ac:dyDescent="0.25">
      <c r="F152" s="6"/>
    </row>
    <row r="153" spans="6:6" x14ac:dyDescent="0.25">
      <c r="F153" s="6"/>
    </row>
    <row r="154" spans="6:6" x14ac:dyDescent="0.25">
      <c r="F154" s="6"/>
    </row>
    <row r="155" spans="6:6" x14ac:dyDescent="0.25">
      <c r="F155" s="6"/>
    </row>
    <row r="156" spans="6:6" x14ac:dyDescent="0.25">
      <c r="F156" s="6"/>
    </row>
    <row r="157" spans="6:6" x14ac:dyDescent="0.25">
      <c r="F157" s="6"/>
    </row>
    <row r="158" spans="6:6" x14ac:dyDescent="0.25">
      <c r="F158" s="6"/>
    </row>
    <row r="159" spans="6:6" x14ac:dyDescent="0.25">
      <c r="F159" s="6"/>
    </row>
    <row r="160" spans="6:6" x14ac:dyDescent="0.25">
      <c r="F160" s="6"/>
    </row>
    <row r="161" spans="6:6" x14ac:dyDescent="0.25">
      <c r="F161" s="6"/>
    </row>
    <row r="162" spans="6:6" x14ac:dyDescent="0.25">
      <c r="F162" s="6"/>
    </row>
    <row r="163" spans="6:6" x14ac:dyDescent="0.25">
      <c r="F163" s="6"/>
    </row>
    <row r="164" spans="6:6" x14ac:dyDescent="0.25">
      <c r="F164" s="6"/>
    </row>
    <row r="165" spans="6:6" x14ac:dyDescent="0.25">
      <c r="F165" s="6"/>
    </row>
    <row r="166" spans="6:6" x14ac:dyDescent="0.25">
      <c r="F166" s="6"/>
    </row>
    <row r="167" spans="6:6" x14ac:dyDescent="0.25">
      <c r="F167" s="6"/>
    </row>
    <row r="168" spans="6:6" x14ac:dyDescent="0.25">
      <c r="F168" s="6"/>
    </row>
    <row r="169" spans="6:6" x14ac:dyDescent="0.25">
      <c r="F169" s="6"/>
    </row>
    <row r="170" spans="6:6" x14ac:dyDescent="0.25">
      <c r="F170" s="6"/>
    </row>
    <row r="171" spans="6:6" x14ac:dyDescent="0.25">
      <c r="F171" s="6"/>
    </row>
    <row r="172" spans="6:6" x14ac:dyDescent="0.25">
      <c r="F172" s="6"/>
    </row>
    <row r="173" spans="6:6" x14ac:dyDescent="0.25">
      <c r="F173" s="6"/>
    </row>
    <row r="174" spans="6:6" x14ac:dyDescent="0.25">
      <c r="F174" s="6"/>
    </row>
    <row r="175" spans="6:6" x14ac:dyDescent="0.25">
      <c r="F175" s="6"/>
    </row>
    <row r="176" spans="6:6" x14ac:dyDescent="0.25">
      <c r="F176" s="6"/>
    </row>
    <row r="177" spans="6:6" x14ac:dyDescent="0.25">
      <c r="F177" s="6"/>
    </row>
    <row r="178" spans="6:6" x14ac:dyDescent="0.25">
      <c r="F178" s="6"/>
    </row>
    <row r="179" spans="6:6" x14ac:dyDescent="0.25">
      <c r="F179" s="6"/>
    </row>
    <row r="180" spans="6:6" x14ac:dyDescent="0.25">
      <c r="F180" s="6"/>
    </row>
    <row r="181" spans="6:6" x14ac:dyDescent="0.25">
      <c r="F181" s="6"/>
    </row>
    <row r="182" spans="6:6" x14ac:dyDescent="0.25">
      <c r="F182" s="6"/>
    </row>
    <row r="183" spans="6:6" x14ac:dyDescent="0.25">
      <c r="F183" s="6"/>
    </row>
    <row r="184" spans="6:6" x14ac:dyDescent="0.25">
      <c r="F184" s="6"/>
    </row>
    <row r="185" spans="6:6" x14ac:dyDescent="0.25">
      <c r="F185" s="6"/>
    </row>
    <row r="186" spans="6:6" x14ac:dyDescent="0.25">
      <c r="F186" s="6"/>
    </row>
    <row r="187" spans="6:6" x14ac:dyDescent="0.25">
      <c r="F187" s="6"/>
    </row>
    <row r="188" spans="6:6" x14ac:dyDescent="0.25">
      <c r="F188" s="6"/>
    </row>
    <row r="189" spans="6:6" x14ac:dyDescent="0.25">
      <c r="F189" s="6"/>
    </row>
    <row r="190" spans="6:6" x14ac:dyDescent="0.25">
      <c r="F190" s="6"/>
    </row>
    <row r="191" spans="6:6" x14ac:dyDescent="0.25">
      <c r="F191" s="6"/>
    </row>
    <row r="192" spans="6:6" x14ac:dyDescent="0.25">
      <c r="F192" s="6"/>
    </row>
    <row r="193" spans="6:6" x14ac:dyDescent="0.25">
      <c r="F193" s="6"/>
    </row>
    <row r="194" spans="6:6" x14ac:dyDescent="0.25">
      <c r="F194" s="6"/>
    </row>
    <row r="195" spans="6:6" x14ac:dyDescent="0.25">
      <c r="F195" s="6"/>
    </row>
    <row r="196" spans="6:6" x14ac:dyDescent="0.25">
      <c r="F196" s="6"/>
    </row>
    <row r="197" spans="6:6" x14ac:dyDescent="0.25">
      <c r="F197" s="6"/>
    </row>
    <row r="198" spans="6:6" x14ac:dyDescent="0.25">
      <c r="F198" s="6"/>
    </row>
    <row r="199" spans="6:6" x14ac:dyDescent="0.25">
      <c r="F199" s="6"/>
    </row>
    <row r="200" spans="6:6" x14ac:dyDescent="0.25">
      <c r="F200" s="6"/>
    </row>
    <row r="201" spans="6:6" x14ac:dyDescent="0.25">
      <c r="F201" s="6"/>
    </row>
    <row r="202" spans="6:6" x14ac:dyDescent="0.25">
      <c r="F202" s="6"/>
    </row>
    <row r="203" spans="6:6" x14ac:dyDescent="0.25">
      <c r="F203" s="6"/>
    </row>
    <row r="204" spans="6:6" x14ac:dyDescent="0.25">
      <c r="F204" s="6"/>
    </row>
    <row r="205" spans="6:6" x14ac:dyDescent="0.25">
      <c r="F205" s="6"/>
    </row>
    <row r="206" spans="6:6" x14ac:dyDescent="0.25">
      <c r="F206" s="6"/>
    </row>
    <row r="207" spans="6:6" x14ac:dyDescent="0.25">
      <c r="F207" s="6"/>
    </row>
    <row r="208" spans="6:6" x14ac:dyDescent="0.25">
      <c r="F208" s="6"/>
    </row>
    <row r="209" spans="6:6" x14ac:dyDescent="0.25">
      <c r="F209" s="6"/>
    </row>
    <row r="210" spans="6:6" x14ac:dyDescent="0.25">
      <c r="F210" s="6"/>
    </row>
    <row r="211" spans="6:6" x14ac:dyDescent="0.25">
      <c r="F211" s="6"/>
    </row>
    <row r="212" spans="6:6" x14ac:dyDescent="0.25">
      <c r="F212" s="6"/>
    </row>
    <row r="213" spans="6:6" x14ac:dyDescent="0.25">
      <c r="F213" s="6"/>
    </row>
    <row r="214" spans="6:6" x14ac:dyDescent="0.25">
      <c r="F214" s="6"/>
    </row>
    <row r="215" spans="6:6" x14ac:dyDescent="0.25">
      <c r="F215" s="6"/>
    </row>
    <row r="216" spans="6:6" x14ac:dyDescent="0.25">
      <c r="F216" s="6"/>
    </row>
    <row r="217" spans="6:6" x14ac:dyDescent="0.25">
      <c r="F217" s="6"/>
    </row>
    <row r="218" spans="6:6" x14ac:dyDescent="0.25">
      <c r="F218" s="6"/>
    </row>
    <row r="219" spans="6:6" x14ac:dyDescent="0.25">
      <c r="F219" s="6"/>
    </row>
    <row r="220" spans="6:6" x14ac:dyDescent="0.25">
      <c r="F220" s="6"/>
    </row>
    <row r="221" spans="6:6" x14ac:dyDescent="0.25">
      <c r="F221" s="6"/>
    </row>
    <row r="222" spans="6:6" x14ac:dyDescent="0.25">
      <c r="F222" s="6"/>
    </row>
    <row r="223" spans="6:6" x14ac:dyDescent="0.25">
      <c r="F223" s="6"/>
    </row>
    <row r="224" spans="6:6" x14ac:dyDescent="0.25">
      <c r="F224" s="6"/>
    </row>
    <row r="225" spans="6:6" x14ac:dyDescent="0.25">
      <c r="F225" s="6"/>
    </row>
    <row r="226" spans="6:6" x14ac:dyDescent="0.25">
      <c r="F226" s="6"/>
    </row>
    <row r="227" spans="6:6" x14ac:dyDescent="0.25">
      <c r="F227" s="6"/>
    </row>
    <row r="228" spans="6:6" x14ac:dyDescent="0.25">
      <c r="F228" s="6"/>
    </row>
    <row r="229" spans="6:6" x14ac:dyDescent="0.25">
      <c r="F229" s="6"/>
    </row>
    <row r="230" spans="6:6" x14ac:dyDescent="0.25">
      <c r="F230" s="6"/>
    </row>
    <row r="231" spans="6:6" x14ac:dyDescent="0.25">
      <c r="F231" s="6"/>
    </row>
    <row r="232" spans="6:6" x14ac:dyDescent="0.25">
      <c r="F232" s="6"/>
    </row>
    <row r="233" spans="6:6" x14ac:dyDescent="0.25">
      <c r="F233" s="6"/>
    </row>
    <row r="234" spans="6:6" x14ac:dyDescent="0.25">
      <c r="F234" s="6"/>
    </row>
    <row r="235" spans="6:6" x14ac:dyDescent="0.25">
      <c r="F235" s="6"/>
    </row>
    <row r="236" spans="6:6" x14ac:dyDescent="0.25">
      <c r="F236" s="6"/>
    </row>
    <row r="237" spans="6:6" x14ac:dyDescent="0.25">
      <c r="F237" s="6"/>
    </row>
    <row r="238" spans="6:6" x14ac:dyDescent="0.25">
      <c r="F238" s="6"/>
    </row>
    <row r="239" spans="6:6" x14ac:dyDescent="0.25">
      <c r="F239" s="6"/>
    </row>
    <row r="240" spans="6:6" x14ac:dyDescent="0.25">
      <c r="F240" s="6"/>
    </row>
    <row r="241" spans="6:6" x14ac:dyDescent="0.25">
      <c r="F241" s="6"/>
    </row>
    <row r="242" spans="6:6" x14ac:dyDescent="0.25">
      <c r="F242" s="6"/>
    </row>
    <row r="243" spans="6:6" x14ac:dyDescent="0.25">
      <c r="F243" s="6"/>
    </row>
    <row r="244" spans="6:6" x14ac:dyDescent="0.25">
      <c r="F244" s="6"/>
    </row>
    <row r="245" spans="6:6" x14ac:dyDescent="0.25">
      <c r="F245" s="6"/>
    </row>
    <row r="246" spans="6:6" x14ac:dyDescent="0.25">
      <c r="F246" s="6"/>
    </row>
    <row r="247" spans="6:6" x14ac:dyDescent="0.25">
      <c r="F247" s="6"/>
    </row>
    <row r="248" spans="6:6" x14ac:dyDescent="0.25">
      <c r="F248" s="6"/>
    </row>
    <row r="249" spans="6:6" x14ac:dyDescent="0.25">
      <c r="F249" s="6"/>
    </row>
    <row r="250" spans="6:6" x14ac:dyDescent="0.25">
      <c r="F250" s="6"/>
    </row>
    <row r="251" spans="6:6" x14ac:dyDescent="0.25">
      <c r="F251" s="6"/>
    </row>
    <row r="252" spans="6:6" x14ac:dyDescent="0.25">
      <c r="F252" s="6"/>
    </row>
    <row r="253" spans="6:6" x14ac:dyDescent="0.25">
      <c r="F253" s="6"/>
    </row>
    <row r="254" spans="6:6" x14ac:dyDescent="0.25">
      <c r="F254" s="6"/>
    </row>
    <row r="255" spans="6:6" x14ac:dyDescent="0.25">
      <c r="F255" s="6"/>
    </row>
    <row r="256" spans="6:6" x14ac:dyDescent="0.25">
      <c r="F256" s="6"/>
    </row>
    <row r="257" spans="6:6" x14ac:dyDescent="0.25">
      <c r="F257" s="6"/>
    </row>
    <row r="258" spans="6:6" x14ac:dyDescent="0.25">
      <c r="F258" s="6"/>
    </row>
    <row r="259" spans="6:6" x14ac:dyDescent="0.25">
      <c r="F259" s="6"/>
    </row>
    <row r="260" spans="6:6" x14ac:dyDescent="0.25">
      <c r="F260" s="6"/>
    </row>
    <row r="261" spans="6:6" x14ac:dyDescent="0.25">
      <c r="F261" s="6"/>
    </row>
    <row r="262" spans="6:6" x14ac:dyDescent="0.25">
      <c r="F262" s="6"/>
    </row>
    <row r="263" spans="6:6" x14ac:dyDescent="0.25">
      <c r="F263" s="6"/>
    </row>
    <row r="264" spans="6:6" x14ac:dyDescent="0.25">
      <c r="F264" s="6"/>
    </row>
    <row r="265" spans="6:6" x14ac:dyDescent="0.25">
      <c r="F265" s="6"/>
    </row>
    <row r="266" spans="6:6" x14ac:dyDescent="0.25">
      <c r="F266" s="6"/>
    </row>
    <row r="267" spans="6:6" x14ac:dyDescent="0.25">
      <c r="F267" s="6"/>
    </row>
    <row r="268" spans="6:6" x14ac:dyDescent="0.25">
      <c r="F268" s="6"/>
    </row>
    <row r="269" spans="6:6" x14ac:dyDescent="0.25">
      <c r="F269" s="6"/>
    </row>
    <row r="270" spans="6:6" x14ac:dyDescent="0.25">
      <c r="F270" s="6"/>
    </row>
    <row r="271" spans="6:6" x14ac:dyDescent="0.25">
      <c r="F271" s="6"/>
    </row>
    <row r="272" spans="6:6" x14ac:dyDescent="0.25">
      <c r="F272" s="6"/>
    </row>
    <row r="273" spans="6:6" x14ac:dyDescent="0.25">
      <c r="F273" s="6"/>
    </row>
    <row r="274" spans="6:6" x14ac:dyDescent="0.25">
      <c r="F274" s="6"/>
    </row>
    <row r="275" spans="6:6" x14ac:dyDescent="0.25">
      <c r="F275" s="6"/>
    </row>
    <row r="276" spans="6:6" x14ac:dyDescent="0.25">
      <c r="F276" s="6"/>
    </row>
    <row r="277" spans="6:6" x14ac:dyDescent="0.25">
      <c r="F277" s="6"/>
    </row>
    <row r="278" spans="6:6" x14ac:dyDescent="0.25">
      <c r="F278" s="6"/>
    </row>
    <row r="279" spans="6:6" x14ac:dyDescent="0.25">
      <c r="F279" s="6"/>
    </row>
    <row r="280" spans="6:6" x14ac:dyDescent="0.25">
      <c r="F280" s="6"/>
    </row>
    <row r="281" spans="6:6" x14ac:dyDescent="0.25">
      <c r="F281" s="6"/>
    </row>
    <row r="282" spans="6:6" x14ac:dyDescent="0.25">
      <c r="F282" s="6"/>
    </row>
    <row r="283" spans="6:6" x14ac:dyDescent="0.25">
      <c r="F283" s="6"/>
    </row>
    <row r="284" spans="6:6" x14ac:dyDescent="0.25">
      <c r="F284" s="6"/>
    </row>
    <row r="285" spans="6:6" x14ac:dyDescent="0.25">
      <c r="F285" s="6"/>
    </row>
    <row r="286" spans="6:6" x14ac:dyDescent="0.25">
      <c r="F286" s="6"/>
    </row>
    <row r="287" spans="6:6" x14ac:dyDescent="0.25">
      <c r="F287" s="6"/>
    </row>
    <row r="288" spans="6:6" x14ac:dyDescent="0.25">
      <c r="F288" s="6"/>
    </row>
    <row r="289" spans="6:6" x14ac:dyDescent="0.25">
      <c r="F289" s="6"/>
    </row>
    <row r="290" spans="6:6" x14ac:dyDescent="0.25">
      <c r="F290" s="6"/>
    </row>
    <row r="291" spans="6:6" x14ac:dyDescent="0.25">
      <c r="F291" s="6"/>
    </row>
    <row r="292" spans="6:6" x14ac:dyDescent="0.25">
      <c r="F292" s="6"/>
    </row>
    <row r="293" spans="6:6" x14ac:dyDescent="0.25">
      <c r="F293" s="6"/>
    </row>
    <row r="294" spans="6:6" x14ac:dyDescent="0.25">
      <c r="F294" s="6"/>
    </row>
    <row r="295" spans="6:6" x14ac:dyDescent="0.25">
      <c r="F295" s="6"/>
    </row>
    <row r="296" spans="6:6" x14ac:dyDescent="0.25">
      <c r="F296" s="6"/>
    </row>
    <row r="297" spans="6:6" x14ac:dyDescent="0.25">
      <c r="F297" s="6"/>
    </row>
    <row r="298" spans="6:6" x14ac:dyDescent="0.25">
      <c r="F298" s="6"/>
    </row>
    <row r="299" spans="6:6" x14ac:dyDescent="0.25">
      <c r="F299" s="6"/>
    </row>
    <row r="300" spans="6:6" x14ac:dyDescent="0.25">
      <c r="F300" s="6"/>
    </row>
    <row r="301" spans="6:6" x14ac:dyDescent="0.25">
      <c r="F301" s="6"/>
    </row>
    <row r="302" spans="6:6" x14ac:dyDescent="0.25">
      <c r="F302" s="6"/>
    </row>
    <row r="303" spans="6:6" x14ac:dyDescent="0.25">
      <c r="F303" s="6"/>
    </row>
    <row r="304" spans="6:6" x14ac:dyDescent="0.25">
      <c r="F304" s="6"/>
    </row>
    <row r="305" spans="6:6" x14ac:dyDescent="0.25">
      <c r="F305" s="6"/>
    </row>
    <row r="306" spans="6:6" x14ac:dyDescent="0.25">
      <c r="F306" s="6"/>
    </row>
    <row r="307" spans="6:6" x14ac:dyDescent="0.25">
      <c r="F307" s="6"/>
    </row>
    <row r="308" spans="6:6" x14ac:dyDescent="0.25">
      <c r="F308" s="6"/>
    </row>
    <row r="309" spans="6:6" x14ac:dyDescent="0.25">
      <c r="F309" s="6"/>
    </row>
    <row r="310" spans="6:6" x14ac:dyDescent="0.25">
      <c r="F310" s="6"/>
    </row>
    <row r="311" spans="6:6" x14ac:dyDescent="0.25">
      <c r="F311" s="6"/>
    </row>
    <row r="312" spans="6:6" x14ac:dyDescent="0.25">
      <c r="F312" s="6"/>
    </row>
    <row r="313" spans="6:6" x14ac:dyDescent="0.25">
      <c r="F313" s="6"/>
    </row>
    <row r="314" spans="6:6" x14ac:dyDescent="0.25">
      <c r="F314" s="6"/>
    </row>
    <row r="315" spans="6:6" x14ac:dyDescent="0.25">
      <c r="F315" s="6"/>
    </row>
    <row r="316" spans="6:6" x14ac:dyDescent="0.25">
      <c r="F316" s="6"/>
    </row>
    <row r="317" spans="6:6" x14ac:dyDescent="0.25">
      <c r="F317" s="6"/>
    </row>
    <row r="318" spans="6:6" x14ac:dyDescent="0.25">
      <c r="F318" s="6"/>
    </row>
    <row r="319" spans="6:6" x14ac:dyDescent="0.25">
      <c r="F319" s="6"/>
    </row>
    <row r="320" spans="6:6" x14ac:dyDescent="0.25">
      <c r="F320" s="6"/>
    </row>
    <row r="321" spans="6:6" x14ac:dyDescent="0.25">
      <c r="F321" s="6"/>
    </row>
    <row r="322" spans="6:6" x14ac:dyDescent="0.25">
      <c r="F322" s="6"/>
    </row>
    <row r="323" spans="6:6" x14ac:dyDescent="0.25">
      <c r="F323" s="6"/>
    </row>
    <row r="324" spans="6:6" x14ac:dyDescent="0.25">
      <c r="F324" s="6"/>
    </row>
    <row r="325" spans="6:6" x14ac:dyDescent="0.25">
      <c r="F325" s="6"/>
    </row>
    <row r="326" spans="6:6" x14ac:dyDescent="0.25">
      <c r="F326" s="6"/>
    </row>
    <row r="327" spans="6:6" x14ac:dyDescent="0.25">
      <c r="F327" s="6"/>
    </row>
    <row r="328" spans="6:6" x14ac:dyDescent="0.25">
      <c r="F328" s="6"/>
    </row>
    <row r="329" spans="6:6" x14ac:dyDescent="0.25">
      <c r="F329" s="6"/>
    </row>
    <row r="330" spans="6:6" x14ac:dyDescent="0.25">
      <c r="F330" s="6"/>
    </row>
    <row r="331" spans="6:6" x14ac:dyDescent="0.25">
      <c r="F331" s="6"/>
    </row>
    <row r="332" spans="6:6" x14ac:dyDescent="0.25">
      <c r="F332" s="6"/>
    </row>
    <row r="333" spans="6:6" x14ac:dyDescent="0.25">
      <c r="F333" s="6"/>
    </row>
    <row r="334" spans="6:6" x14ac:dyDescent="0.25">
      <c r="F334" s="6"/>
    </row>
    <row r="335" spans="6:6" x14ac:dyDescent="0.25">
      <c r="F335" s="6"/>
    </row>
    <row r="336" spans="6:6" x14ac:dyDescent="0.25">
      <c r="F336" s="6"/>
    </row>
    <row r="337" spans="6:6" x14ac:dyDescent="0.25">
      <c r="F337" s="6"/>
    </row>
    <row r="338" spans="6:6" x14ac:dyDescent="0.25">
      <c r="F338" s="6"/>
    </row>
    <row r="339" spans="6:6" x14ac:dyDescent="0.25">
      <c r="F339" s="6"/>
    </row>
    <row r="340" spans="6:6" x14ac:dyDescent="0.25">
      <c r="F340" s="6"/>
    </row>
    <row r="341" spans="6:6" x14ac:dyDescent="0.25">
      <c r="F341" s="6"/>
    </row>
    <row r="342" spans="6:6" x14ac:dyDescent="0.25">
      <c r="F342" s="6"/>
    </row>
    <row r="343" spans="6:6" x14ac:dyDescent="0.25">
      <c r="F343" s="6"/>
    </row>
    <row r="344" spans="6:6" x14ac:dyDescent="0.25">
      <c r="F344" s="6"/>
    </row>
    <row r="345" spans="6:6" x14ac:dyDescent="0.25">
      <c r="F345" s="6"/>
    </row>
    <row r="346" spans="6:6" x14ac:dyDescent="0.25">
      <c r="F346" s="6"/>
    </row>
    <row r="347" spans="6:6" x14ac:dyDescent="0.25">
      <c r="F347" s="6"/>
    </row>
    <row r="348" spans="6:6" x14ac:dyDescent="0.25">
      <c r="F348" s="6"/>
    </row>
    <row r="349" spans="6:6" x14ac:dyDescent="0.25">
      <c r="F349" s="6"/>
    </row>
    <row r="350" spans="6:6" x14ac:dyDescent="0.25">
      <c r="F350" s="6"/>
    </row>
    <row r="351" spans="6:6" x14ac:dyDescent="0.25">
      <c r="F351" s="6"/>
    </row>
    <row r="352" spans="6:6" x14ac:dyDescent="0.25">
      <c r="F352" s="6"/>
    </row>
    <row r="353" spans="6:6" x14ac:dyDescent="0.25">
      <c r="F353" s="6"/>
    </row>
    <row r="354" spans="6:6" x14ac:dyDescent="0.25">
      <c r="F354" s="6"/>
    </row>
    <row r="355" spans="6:6" x14ac:dyDescent="0.25">
      <c r="F355" s="6"/>
    </row>
    <row r="356" spans="6:6" x14ac:dyDescent="0.25">
      <c r="F356" s="6"/>
    </row>
    <row r="357" spans="6:6" x14ac:dyDescent="0.25">
      <c r="F357" s="6"/>
    </row>
    <row r="358" spans="6:6" x14ac:dyDescent="0.25">
      <c r="F358" s="6"/>
    </row>
    <row r="359" spans="6:6" x14ac:dyDescent="0.25">
      <c r="F359" s="6"/>
    </row>
    <row r="360" spans="6:6" x14ac:dyDescent="0.25">
      <c r="F360" s="6"/>
    </row>
    <row r="361" spans="6:6" x14ac:dyDescent="0.25">
      <c r="F361" s="6"/>
    </row>
    <row r="362" spans="6:6" x14ac:dyDescent="0.25">
      <c r="F362" s="6"/>
    </row>
    <row r="363" spans="6:6" x14ac:dyDescent="0.25">
      <c r="F363" s="6"/>
    </row>
    <row r="364" spans="6:6" x14ac:dyDescent="0.25">
      <c r="F364" s="6"/>
    </row>
    <row r="365" spans="6:6" x14ac:dyDescent="0.25">
      <c r="F365" s="6"/>
    </row>
    <row r="366" spans="6:6" x14ac:dyDescent="0.25">
      <c r="F366" s="6"/>
    </row>
    <row r="367" spans="6:6" x14ac:dyDescent="0.25">
      <c r="F367" s="6"/>
    </row>
    <row r="368" spans="6:6" x14ac:dyDescent="0.25">
      <c r="F368" s="6"/>
    </row>
    <row r="369" spans="6:6" x14ac:dyDescent="0.25">
      <c r="F369" s="6"/>
    </row>
    <row r="370" spans="6:6" x14ac:dyDescent="0.25">
      <c r="F370" s="6"/>
    </row>
    <row r="371" spans="6:6" x14ac:dyDescent="0.25">
      <c r="F371" s="6"/>
    </row>
    <row r="372" spans="6:6" x14ac:dyDescent="0.25">
      <c r="F372" s="6"/>
    </row>
    <row r="373" spans="6:6" x14ac:dyDescent="0.25">
      <c r="F373" s="6"/>
    </row>
    <row r="374" spans="6:6" x14ac:dyDescent="0.25">
      <c r="F374" s="6"/>
    </row>
    <row r="375" spans="6:6" x14ac:dyDescent="0.25">
      <c r="F375" s="6"/>
    </row>
    <row r="376" spans="6:6" x14ac:dyDescent="0.25">
      <c r="F376" s="6"/>
    </row>
    <row r="377" spans="6:6" x14ac:dyDescent="0.25">
      <c r="F377" s="6"/>
    </row>
    <row r="378" spans="6:6" x14ac:dyDescent="0.25">
      <c r="F378" s="6"/>
    </row>
    <row r="379" spans="6:6" x14ac:dyDescent="0.25">
      <c r="F379" s="6"/>
    </row>
    <row r="380" spans="6:6" x14ac:dyDescent="0.25">
      <c r="F380" s="6"/>
    </row>
    <row r="381" spans="6:6" x14ac:dyDescent="0.25">
      <c r="F381" s="6"/>
    </row>
    <row r="382" spans="6:6" x14ac:dyDescent="0.25">
      <c r="F382" s="6"/>
    </row>
    <row r="383" spans="6:6" x14ac:dyDescent="0.25">
      <c r="F383" s="6"/>
    </row>
    <row r="384" spans="6:6" x14ac:dyDescent="0.25">
      <c r="F384" s="6"/>
    </row>
    <row r="385" spans="6:6" x14ac:dyDescent="0.25">
      <c r="F385" s="6"/>
    </row>
    <row r="386" spans="6:6" x14ac:dyDescent="0.25">
      <c r="F386" s="6"/>
    </row>
    <row r="387" spans="6:6" x14ac:dyDescent="0.25">
      <c r="F387" s="6"/>
    </row>
    <row r="388" spans="6:6" x14ac:dyDescent="0.25">
      <c r="F388" s="6"/>
    </row>
    <row r="389" spans="6:6" x14ac:dyDescent="0.25">
      <c r="F389" s="6"/>
    </row>
    <row r="390" spans="6:6" x14ac:dyDescent="0.25">
      <c r="F390" s="6"/>
    </row>
    <row r="391" spans="6:6" x14ac:dyDescent="0.25">
      <c r="F391" s="6"/>
    </row>
    <row r="392" spans="6:6" x14ac:dyDescent="0.25">
      <c r="F392" s="6"/>
    </row>
    <row r="393" spans="6:6" x14ac:dyDescent="0.25">
      <c r="F393" s="6"/>
    </row>
    <row r="394" spans="6:6" x14ac:dyDescent="0.25">
      <c r="F394" s="6"/>
    </row>
    <row r="395" spans="6:6" x14ac:dyDescent="0.25">
      <c r="F395" s="6"/>
    </row>
    <row r="396" spans="6:6" x14ac:dyDescent="0.25">
      <c r="F396" s="6"/>
    </row>
    <row r="397" spans="6:6" x14ac:dyDescent="0.25">
      <c r="F397" s="6"/>
    </row>
    <row r="398" spans="6:6" x14ac:dyDescent="0.25">
      <c r="F398" s="6"/>
    </row>
    <row r="399" spans="6:6" x14ac:dyDescent="0.25">
      <c r="F399" s="6"/>
    </row>
    <row r="400" spans="6:6" x14ac:dyDescent="0.25">
      <c r="F400" s="6"/>
    </row>
    <row r="401" spans="6:6" x14ac:dyDescent="0.25">
      <c r="F401" s="6"/>
    </row>
    <row r="402" spans="6:6" x14ac:dyDescent="0.25">
      <c r="F402" s="6"/>
    </row>
    <row r="403" spans="6:6" x14ac:dyDescent="0.25">
      <c r="F403" s="6"/>
    </row>
    <row r="404" spans="6:6" x14ac:dyDescent="0.25">
      <c r="F404" s="6"/>
    </row>
    <row r="405" spans="6:6" x14ac:dyDescent="0.25">
      <c r="F405" s="6"/>
    </row>
    <row r="406" spans="6:6" x14ac:dyDescent="0.25">
      <c r="F406" s="6"/>
    </row>
    <row r="407" spans="6:6" x14ac:dyDescent="0.25">
      <c r="F407" s="6"/>
    </row>
    <row r="408" spans="6:6" x14ac:dyDescent="0.25">
      <c r="F408" s="6"/>
    </row>
    <row r="409" spans="6:6" x14ac:dyDescent="0.25">
      <c r="F409" s="6"/>
    </row>
    <row r="410" spans="6:6" x14ac:dyDescent="0.25">
      <c r="F410" s="6"/>
    </row>
    <row r="411" spans="6:6" x14ac:dyDescent="0.25">
      <c r="F411" s="6"/>
    </row>
    <row r="412" spans="6:6" x14ac:dyDescent="0.25">
      <c r="F412" s="6"/>
    </row>
    <row r="413" spans="6:6" x14ac:dyDescent="0.25">
      <c r="F413" s="6"/>
    </row>
    <row r="414" spans="6:6" x14ac:dyDescent="0.25">
      <c r="F414" s="6"/>
    </row>
    <row r="415" spans="6:6" x14ac:dyDescent="0.25">
      <c r="F415" s="6"/>
    </row>
    <row r="416" spans="6:6" x14ac:dyDescent="0.25">
      <c r="F416" s="6"/>
    </row>
    <row r="417" spans="6:6" x14ac:dyDescent="0.25">
      <c r="F417" s="6"/>
    </row>
    <row r="418" spans="6:6" x14ac:dyDescent="0.25">
      <c r="F418" s="6"/>
    </row>
    <row r="419" spans="6:6" x14ac:dyDescent="0.25">
      <c r="F419" s="6"/>
    </row>
    <row r="420" spans="6:6" x14ac:dyDescent="0.25">
      <c r="F420" s="6"/>
    </row>
    <row r="421" spans="6:6" x14ac:dyDescent="0.25">
      <c r="F421" s="6"/>
    </row>
    <row r="422" spans="6:6" x14ac:dyDescent="0.25">
      <c r="F422" s="6"/>
    </row>
    <row r="423" spans="6:6" x14ac:dyDescent="0.25">
      <c r="F423" s="6"/>
    </row>
    <row r="424" spans="6:6" x14ac:dyDescent="0.25">
      <c r="F424" s="6"/>
    </row>
    <row r="425" spans="6:6" x14ac:dyDescent="0.25">
      <c r="F425" s="6"/>
    </row>
    <row r="426" spans="6:6" x14ac:dyDescent="0.25">
      <c r="F426" s="6"/>
    </row>
    <row r="427" spans="6:6" x14ac:dyDescent="0.25">
      <c r="F427" s="6"/>
    </row>
    <row r="428" spans="6:6" x14ac:dyDescent="0.25">
      <c r="F428" s="6"/>
    </row>
    <row r="429" spans="6:6" x14ac:dyDescent="0.25">
      <c r="F429" s="6"/>
    </row>
    <row r="430" spans="6:6" x14ac:dyDescent="0.25">
      <c r="F430" s="6"/>
    </row>
    <row r="431" spans="6:6" x14ac:dyDescent="0.25">
      <c r="F431" s="6"/>
    </row>
    <row r="432" spans="6:6" x14ac:dyDescent="0.25">
      <c r="F432" s="6"/>
    </row>
    <row r="433" spans="6:6" x14ac:dyDescent="0.25">
      <c r="F433" s="6"/>
    </row>
    <row r="434" spans="6:6" x14ac:dyDescent="0.25">
      <c r="F434" s="6"/>
    </row>
    <row r="435" spans="6:6" x14ac:dyDescent="0.25">
      <c r="F435" s="6"/>
    </row>
    <row r="436" spans="6:6" x14ac:dyDescent="0.25">
      <c r="F436" s="6"/>
    </row>
    <row r="437" spans="6:6" x14ac:dyDescent="0.25">
      <c r="F437" s="6"/>
    </row>
    <row r="438" spans="6:6" x14ac:dyDescent="0.25">
      <c r="F438" s="6"/>
    </row>
    <row r="439" spans="6:6" x14ac:dyDescent="0.25">
      <c r="F439" s="6"/>
    </row>
    <row r="440" spans="6:6" x14ac:dyDescent="0.25">
      <c r="F440" s="6"/>
    </row>
    <row r="441" spans="6:6" x14ac:dyDescent="0.25">
      <c r="F441" s="6"/>
    </row>
    <row r="442" spans="6:6" x14ac:dyDescent="0.25">
      <c r="F442" s="6"/>
    </row>
    <row r="443" spans="6:6" x14ac:dyDescent="0.25">
      <c r="F443" s="6"/>
    </row>
    <row r="444" spans="6:6" x14ac:dyDescent="0.25">
      <c r="F444" s="6"/>
    </row>
    <row r="445" spans="6:6" x14ac:dyDescent="0.25">
      <c r="F445" s="6"/>
    </row>
    <row r="446" spans="6:6" x14ac:dyDescent="0.25">
      <c r="F446" s="6"/>
    </row>
    <row r="447" spans="6:6" x14ac:dyDescent="0.25">
      <c r="F447" s="6"/>
    </row>
    <row r="448" spans="6:6" x14ac:dyDescent="0.25">
      <c r="F448" s="6"/>
    </row>
    <row r="449" spans="6:6" x14ac:dyDescent="0.25">
      <c r="F449" s="6"/>
    </row>
    <row r="450" spans="6:6" x14ac:dyDescent="0.25">
      <c r="F450" s="6"/>
    </row>
    <row r="451" spans="6:6" x14ac:dyDescent="0.25">
      <c r="F451" s="6"/>
    </row>
    <row r="452" spans="6:6" x14ac:dyDescent="0.25">
      <c r="F452" s="6"/>
    </row>
    <row r="453" spans="6:6" x14ac:dyDescent="0.25">
      <c r="F453" s="6"/>
    </row>
    <row r="454" spans="6:6" x14ac:dyDescent="0.25">
      <c r="F454" s="6"/>
    </row>
    <row r="455" spans="6:6" x14ac:dyDescent="0.25">
      <c r="F455" s="6"/>
    </row>
    <row r="456" spans="6:6" x14ac:dyDescent="0.25">
      <c r="F456" s="6"/>
    </row>
    <row r="457" spans="6:6" x14ac:dyDescent="0.25">
      <c r="F457" s="6"/>
    </row>
    <row r="458" spans="6:6" x14ac:dyDescent="0.25">
      <c r="F458" s="6"/>
    </row>
    <row r="459" spans="6:6" x14ac:dyDescent="0.25">
      <c r="F459" s="6"/>
    </row>
    <row r="460" spans="6:6" x14ac:dyDescent="0.25">
      <c r="F460" s="6"/>
    </row>
    <row r="461" spans="6:6" x14ac:dyDescent="0.25">
      <c r="F461" s="6"/>
    </row>
    <row r="462" spans="6:6" x14ac:dyDescent="0.25">
      <c r="F462" s="6"/>
    </row>
    <row r="463" spans="6:6" x14ac:dyDescent="0.25">
      <c r="F463" s="6"/>
    </row>
    <row r="464" spans="6:6" x14ac:dyDescent="0.25">
      <c r="F464" s="6"/>
    </row>
    <row r="465" spans="6:6" x14ac:dyDescent="0.25">
      <c r="F465" s="6"/>
    </row>
    <row r="466" spans="6:6" x14ac:dyDescent="0.25">
      <c r="F466" s="6"/>
    </row>
    <row r="467" spans="6:6" x14ac:dyDescent="0.25">
      <c r="F467" s="6"/>
    </row>
    <row r="468" spans="6:6" x14ac:dyDescent="0.25">
      <c r="F468" s="6"/>
    </row>
    <row r="469" spans="6:6" x14ac:dyDescent="0.25">
      <c r="F469" s="6"/>
    </row>
    <row r="470" spans="6:6" x14ac:dyDescent="0.25">
      <c r="F470" s="6"/>
    </row>
    <row r="471" spans="6:6" x14ac:dyDescent="0.25">
      <c r="F471" s="6"/>
    </row>
    <row r="472" spans="6:6" x14ac:dyDescent="0.25">
      <c r="F472" s="6"/>
    </row>
    <row r="473" spans="6:6" x14ac:dyDescent="0.25">
      <c r="F473" s="6"/>
    </row>
    <row r="474" spans="6:6" x14ac:dyDescent="0.25">
      <c r="F474" s="6"/>
    </row>
    <row r="475" spans="6:6" x14ac:dyDescent="0.25">
      <c r="F475" s="6"/>
    </row>
    <row r="476" spans="6:6" x14ac:dyDescent="0.25">
      <c r="F476" s="6"/>
    </row>
    <row r="477" spans="6:6" x14ac:dyDescent="0.25">
      <c r="F477" s="6"/>
    </row>
    <row r="478" spans="6:6" x14ac:dyDescent="0.25">
      <c r="F478" s="6"/>
    </row>
    <row r="479" spans="6:6" x14ac:dyDescent="0.25">
      <c r="F479" s="6"/>
    </row>
    <row r="480" spans="6:6" x14ac:dyDescent="0.25">
      <c r="F480" s="6"/>
    </row>
    <row r="481" spans="6:6" x14ac:dyDescent="0.25">
      <c r="F481" s="6"/>
    </row>
    <row r="482" spans="6:6" x14ac:dyDescent="0.25">
      <c r="F482" s="6"/>
    </row>
    <row r="483" spans="6:6" x14ac:dyDescent="0.25">
      <c r="F483" s="6"/>
    </row>
    <row r="484" spans="6:6" x14ac:dyDescent="0.25">
      <c r="F484" s="6"/>
    </row>
    <row r="485" spans="6:6" x14ac:dyDescent="0.25">
      <c r="F485" s="6"/>
    </row>
    <row r="486" spans="6:6" x14ac:dyDescent="0.25">
      <c r="F486" s="6"/>
    </row>
    <row r="487" spans="6:6" x14ac:dyDescent="0.25">
      <c r="F487" s="6"/>
    </row>
    <row r="488" spans="6:6" x14ac:dyDescent="0.25">
      <c r="F488" s="6"/>
    </row>
    <row r="489" spans="6:6" x14ac:dyDescent="0.25">
      <c r="F489" s="6"/>
    </row>
    <row r="490" spans="6:6" x14ac:dyDescent="0.25">
      <c r="F490" s="6"/>
    </row>
    <row r="491" spans="6:6" x14ac:dyDescent="0.25">
      <c r="F491" s="6"/>
    </row>
    <row r="492" spans="6:6" x14ac:dyDescent="0.25">
      <c r="F492" s="6"/>
    </row>
    <row r="493" spans="6:6" x14ac:dyDescent="0.25">
      <c r="F493" s="6"/>
    </row>
    <row r="494" spans="6:6" x14ac:dyDescent="0.25">
      <c r="F494" s="6"/>
    </row>
    <row r="495" spans="6:6" x14ac:dyDescent="0.25">
      <c r="F495" s="6"/>
    </row>
    <row r="496" spans="6:6" x14ac:dyDescent="0.25">
      <c r="F496" s="6"/>
    </row>
    <row r="497" spans="6:6" x14ac:dyDescent="0.25">
      <c r="F497" s="6"/>
    </row>
    <row r="498" spans="6:6" x14ac:dyDescent="0.25">
      <c r="F498" s="6"/>
    </row>
    <row r="499" spans="6:6" x14ac:dyDescent="0.25">
      <c r="F499" s="6"/>
    </row>
    <row r="500" spans="6:6" x14ac:dyDescent="0.25">
      <c r="F500" s="6"/>
    </row>
    <row r="501" spans="6:6" x14ac:dyDescent="0.25">
      <c r="F501" s="6"/>
    </row>
    <row r="502" spans="6:6" x14ac:dyDescent="0.25">
      <c r="F502" s="6"/>
    </row>
    <row r="503" spans="6:6" x14ac:dyDescent="0.25">
      <c r="F503" s="6"/>
    </row>
  </sheetData>
  <autoFilter ref="A1:I503" xr:uid="{00000000-0009-0000-0000-000007000000}"/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2"/>
  <sheetViews>
    <sheetView showGridLines="0" workbookViewId="0">
      <pane ySplit="2" topLeftCell="A3" activePane="bottomLeft" state="frozen"/>
      <selection pane="bottomLeft" activeCell="C4" sqref="C4:E12"/>
    </sheetView>
  </sheetViews>
  <sheetFormatPr defaultRowHeight="15" x14ac:dyDescent="0.25"/>
  <cols>
    <col min="1" max="1" width="20" customWidth="1"/>
    <col min="2" max="2" width="38" customWidth="1"/>
    <col min="3" max="5" width="17" customWidth="1"/>
    <col min="6" max="6" width="18" customWidth="1"/>
    <col min="7" max="7" width="35" customWidth="1"/>
  </cols>
  <sheetData>
    <row r="1" spans="1:7" ht="21" x14ac:dyDescent="0.35">
      <c r="A1" s="10" t="s">
        <v>171</v>
      </c>
      <c r="B1" s="11"/>
      <c r="C1" s="11"/>
      <c r="D1" s="11"/>
      <c r="E1" s="11"/>
      <c r="F1" s="11"/>
      <c r="G1" s="11"/>
    </row>
    <row r="3" spans="1:7" x14ac:dyDescent="0.25">
      <c r="A3" s="5" t="s">
        <v>172</v>
      </c>
      <c r="B3" s="5" t="s">
        <v>173</v>
      </c>
      <c r="C3" s="5" t="s">
        <v>174</v>
      </c>
      <c r="D3" s="5" t="s">
        <v>175</v>
      </c>
      <c r="E3" s="5" t="s">
        <v>176</v>
      </c>
      <c r="F3" s="5" t="s">
        <v>90</v>
      </c>
      <c r="G3" s="5" t="s">
        <v>93</v>
      </c>
    </row>
    <row r="4" spans="1:7" x14ac:dyDescent="0.25">
      <c r="A4" s="3" t="s">
        <v>177</v>
      </c>
      <c r="B4" s="3" t="s">
        <v>178</v>
      </c>
      <c r="C4" s="19"/>
      <c r="D4" s="19"/>
      <c r="E4" s="19" t="str">
        <f t="shared" ref="E4:E12" si="0">IF(C4="","",C4-D4)</f>
        <v/>
      </c>
      <c r="F4" s="3" t="str">
        <f t="shared" ref="F4:F12" si="1">IF(C4="","Belum Dianggarkan",IF(D4&gt;C4,"Melebihi",IF(D4=C4,"Sesuai","Berjalan")))</f>
        <v>Belum Dianggarkan</v>
      </c>
      <c r="G4" s="3"/>
    </row>
    <row r="5" spans="1:7" x14ac:dyDescent="0.25">
      <c r="A5" s="3" t="s">
        <v>179</v>
      </c>
      <c r="B5" s="3" t="s">
        <v>180</v>
      </c>
      <c r="C5" s="19"/>
      <c r="D5" s="19"/>
      <c r="E5" s="19" t="str">
        <f t="shared" si="0"/>
        <v/>
      </c>
      <c r="F5" s="3" t="str">
        <f t="shared" si="1"/>
        <v>Belum Dianggarkan</v>
      </c>
      <c r="G5" s="3"/>
    </row>
    <row r="6" spans="1:7" x14ac:dyDescent="0.25">
      <c r="A6" s="3" t="s">
        <v>181</v>
      </c>
      <c r="B6" s="3" t="s">
        <v>182</v>
      </c>
      <c r="C6" s="19"/>
      <c r="D6" s="19"/>
      <c r="E6" s="19" t="str">
        <f t="shared" si="0"/>
        <v/>
      </c>
      <c r="F6" s="3" t="str">
        <f t="shared" si="1"/>
        <v>Belum Dianggarkan</v>
      </c>
      <c r="G6" s="3"/>
    </row>
    <row r="7" spans="1:7" x14ac:dyDescent="0.25">
      <c r="A7" s="3" t="s">
        <v>183</v>
      </c>
      <c r="B7" s="3" t="s">
        <v>184</v>
      </c>
      <c r="C7" s="19"/>
      <c r="D7" s="19"/>
      <c r="E7" s="19" t="str">
        <f t="shared" si="0"/>
        <v/>
      </c>
      <c r="F7" s="3" t="str">
        <f t="shared" si="1"/>
        <v>Belum Dianggarkan</v>
      </c>
      <c r="G7" s="3"/>
    </row>
    <row r="8" spans="1:7" x14ac:dyDescent="0.25">
      <c r="A8" s="3" t="s">
        <v>183</v>
      </c>
      <c r="B8" s="3" t="s">
        <v>185</v>
      </c>
      <c r="C8" s="19"/>
      <c r="D8" s="19"/>
      <c r="E8" s="19" t="str">
        <f t="shared" si="0"/>
        <v/>
      </c>
      <c r="F8" s="3" t="str">
        <f t="shared" si="1"/>
        <v>Belum Dianggarkan</v>
      </c>
      <c r="G8" s="3"/>
    </row>
    <row r="9" spans="1:7" x14ac:dyDescent="0.25">
      <c r="A9" s="3" t="s">
        <v>186</v>
      </c>
      <c r="B9" s="3" t="s">
        <v>187</v>
      </c>
      <c r="C9" s="19"/>
      <c r="D9" s="19"/>
      <c r="E9" s="19" t="str">
        <f t="shared" si="0"/>
        <v/>
      </c>
      <c r="F9" s="3" t="str">
        <f t="shared" si="1"/>
        <v>Belum Dianggarkan</v>
      </c>
      <c r="G9" s="3"/>
    </row>
    <row r="10" spans="1:7" x14ac:dyDescent="0.25">
      <c r="A10" s="3" t="s">
        <v>188</v>
      </c>
      <c r="B10" s="3" t="s">
        <v>189</v>
      </c>
      <c r="C10" s="19">
        <v>500000</v>
      </c>
      <c r="D10" s="19">
        <v>500000</v>
      </c>
      <c r="E10" s="19">
        <f t="shared" si="0"/>
        <v>0</v>
      </c>
      <c r="F10" s="3" t="str">
        <f t="shared" si="1"/>
        <v>Sesuai</v>
      </c>
      <c r="G10" s="3"/>
    </row>
    <row r="11" spans="1:7" x14ac:dyDescent="0.25">
      <c r="A11" s="3" t="s">
        <v>190</v>
      </c>
      <c r="B11" s="3" t="s">
        <v>191</v>
      </c>
      <c r="C11" s="19"/>
      <c r="D11" s="19"/>
      <c r="E11" s="19" t="str">
        <f t="shared" si="0"/>
        <v/>
      </c>
      <c r="F11" s="3" t="str">
        <f t="shared" si="1"/>
        <v>Belum Dianggarkan</v>
      </c>
      <c r="G11" s="3"/>
    </row>
    <row r="12" spans="1:7" x14ac:dyDescent="0.25">
      <c r="A12" s="3" t="s">
        <v>192</v>
      </c>
      <c r="B12" s="3" t="s">
        <v>193</v>
      </c>
      <c r="C12" s="19"/>
      <c r="D12" s="19"/>
      <c r="E12" s="19" t="str">
        <f t="shared" si="0"/>
        <v/>
      </c>
      <c r="F12" s="3" t="str">
        <f t="shared" si="1"/>
        <v>Belum Dianggarkan</v>
      </c>
      <c r="G12" s="3"/>
    </row>
  </sheetData>
  <autoFilter ref="A1:G12" xr:uid="{00000000-0009-0000-0000-000008000000}"/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03"/>
  <sheetViews>
    <sheetView showGridLines="0" topLeftCell="E1" workbookViewId="0">
      <pane ySplit="2" topLeftCell="A3" activePane="bottomLeft" state="frozen"/>
      <selection pane="bottomLeft" activeCell="A4" sqref="A4:I150"/>
    </sheetView>
  </sheetViews>
  <sheetFormatPr defaultRowHeight="15" x14ac:dyDescent="0.25"/>
  <cols>
    <col min="1" max="1" width="14" customWidth="1"/>
    <col min="2" max="2" width="18" customWidth="1"/>
    <col min="3" max="3" width="20" customWidth="1"/>
    <col min="4" max="4" width="40" customWidth="1"/>
    <col min="5" max="6" width="16" customWidth="1"/>
    <col min="7" max="7" width="17" customWidth="1"/>
    <col min="8" max="8" width="20" customWidth="1"/>
    <col min="9" max="9" width="63.5703125" customWidth="1"/>
  </cols>
  <sheetData>
    <row r="1" spans="1:9" ht="21" x14ac:dyDescent="0.35">
      <c r="A1" s="10" t="s">
        <v>194</v>
      </c>
      <c r="B1" s="11"/>
      <c r="C1" s="11"/>
      <c r="D1" s="11"/>
      <c r="E1" s="11"/>
      <c r="F1" s="11"/>
      <c r="G1" s="11"/>
      <c r="H1" s="11"/>
      <c r="I1" s="11"/>
    </row>
    <row r="3" spans="1:9" x14ac:dyDescent="0.25">
      <c r="A3" s="12" t="s">
        <v>160</v>
      </c>
      <c r="B3" s="12" t="s">
        <v>82</v>
      </c>
      <c r="C3" s="12" t="s">
        <v>172</v>
      </c>
      <c r="D3" s="12" t="s">
        <v>173</v>
      </c>
      <c r="E3" s="12" t="s">
        <v>195</v>
      </c>
      <c r="F3" s="12" t="s">
        <v>196</v>
      </c>
      <c r="G3" s="12" t="s">
        <v>197</v>
      </c>
      <c r="H3" s="12" t="s">
        <v>198</v>
      </c>
      <c r="I3" s="12" t="s">
        <v>93</v>
      </c>
    </row>
    <row r="4" spans="1:9" x14ac:dyDescent="0.25">
      <c r="A4" s="18">
        <v>46227</v>
      </c>
      <c r="B4" s="14" t="s">
        <v>199</v>
      </c>
      <c r="C4" s="14" t="s">
        <v>188</v>
      </c>
      <c r="D4" s="14" t="s">
        <v>189</v>
      </c>
      <c r="E4" s="15"/>
      <c r="F4" s="15">
        <v>500000</v>
      </c>
      <c r="G4" s="15">
        <f>E4-F4</f>
        <v>-500000</v>
      </c>
      <c r="H4" s="14"/>
      <c r="I4" s="14" t="s">
        <v>200</v>
      </c>
    </row>
    <row r="5" spans="1:9" x14ac:dyDescent="0.25">
      <c r="A5" s="14"/>
      <c r="B5" s="14"/>
      <c r="C5" s="14"/>
      <c r="D5" s="14"/>
      <c r="E5" s="15"/>
      <c r="F5" s="15"/>
      <c r="G5" s="15">
        <f t="shared" ref="G5:G68" si="0">G4+E5-F5</f>
        <v>-500000</v>
      </c>
      <c r="H5" s="14"/>
      <c r="I5" s="14"/>
    </row>
    <row r="6" spans="1:9" x14ac:dyDescent="0.25">
      <c r="A6" s="14"/>
      <c r="B6" s="14"/>
      <c r="C6" s="14"/>
      <c r="D6" s="14"/>
      <c r="E6" s="15"/>
      <c r="F6" s="15"/>
      <c r="G6" s="15">
        <f t="shared" si="0"/>
        <v>-500000</v>
      </c>
      <c r="H6" s="14"/>
      <c r="I6" s="14"/>
    </row>
    <row r="7" spans="1:9" x14ac:dyDescent="0.25">
      <c r="A7" s="14"/>
      <c r="B7" s="14"/>
      <c r="C7" s="14"/>
      <c r="D7" s="14"/>
      <c r="E7" s="15"/>
      <c r="F7" s="15"/>
      <c r="G7" s="15">
        <f t="shared" si="0"/>
        <v>-500000</v>
      </c>
      <c r="H7" s="14"/>
      <c r="I7" s="14"/>
    </row>
    <row r="8" spans="1:9" x14ac:dyDescent="0.25">
      <c r="A8" s="14"/>
      <c r="B8" s="14"/>
      <c r="C8" s="14"/>
      <c r="D8" s="14"/>
      <c r="E8" s="15"/>
      <c r="F8" s="15"/>
      <c r="G8" s="15">
        <f t="shared" si="0"/>
        <v>-500000</v>
      </c>
      <c r="H8" s="14"/>
      <c r="I8" s="14"/>
    </row>
    <row r="9" spans="1:9" x14ac:dyDescent="0.25">
      <c r="A9" s="14"/>
      <c r="B9" s="14"/>
      <c r="C9" s="14"/>
      <c r="D9" s="14"/>
      <c r="E9" s="15"/>
      <c r="F9" s="15"/>
      <c r="G9" s="15">
        <f t="shared" si="0"/>
        <v>-500000</v>
      </c>
      <c r="H9" s="14"/>
      <c r="I9" s="14"/>
    </row>
    <row r="10" spans="1:9" x14ac:dyDescent="0.25">
      <c r="A10" s="14"/>
      <c r="B10" s="14"/>
      <c r="C10" s="14"/>
      <c r="D10" s="14"/>
      <c r="E10" s="15"/>
      <c r="F10" s="15"/>
      <c r="G10" s="15">
        <f t="shared" si="0"/>
        <v>-500000</v>
      </c>
      <c r="H10" s="14"/>
      <c r="I10" s="14"/>
    </row>
    <row r="11" spans="1:9" x14ac:dyDescent="0.25">
      <c r="A11" s="14"/>
      <c r="B11" s="14"/>
      <c r="C11" s="14"/>
      <c r="D11" s="14"/>
      <c r="E11" s="15"/>
      <c r="F11" s="15"/>
      <c r="G11" s="15">
        <f t="shared" si="0"/>
        <v>-500000</v>
      </c>
      <c r="H11" s="14"/>
      <c r="I11" s="14"/>
    </row>
    <row r="12" spans="1:9" x14ac:dyDescent="0.25">
      <c r="A12" s="14"/>
      <c r="B12" s="14"/>
      <c r="C12" s="14"/>
      <c r="D12" s="14"/>
      <c r="E12" s="15"/>
      <c r="F12" s="15"/>
      <c r="G12" s="15">
        <f t="shared" si="0"/>
        <v>-500000</v>
      </c>
      <c r="H12" s="14"/>
      <c r="I12" s="14"/>
    </row>
    <row r="13" spans="1:9" x14ac:dyDescent="0.25">
      <c r="A13" s="14"/>
      <c r="B13" s="14"/>
      <c r="C13" s="14"/>
      <c r="D13" s="14"/>
      <c r="E13" s="15"/>
      <c r="F13" s="15"/>
      <c r="G13" s="15">
        <f t="shared" si="0"/>
        <v>-500000</v>
      </c>
      <c r="H13" s="14"/>
      <c r="I13" s="14"/>
    </row>
    <row r="14" spans="1:9" x14ac:dyDescent="0.25">
      <c r="A14" s="14"/>
      <c r="B14" s="14"/>
      <c r="C14" s="14"/>
      <c r="D14" s="14"/>
      <c r="E14" s="15"/>
      <c r="F14" s="15"/>
      <c r="G14" s="15">
        <f t="shared" si="0"/>
        <v>-500000</v>
      </c>
      <c r="H14" s="14"/>
      <c r="I14" s="14"/>
    </row>
    <row r="15" spans="1:9" x14ac:dyDescent="0.25">
      <c r="A15" s="14"/>
      <c r="B15" s="14"/>
      <c r="C15" s="14"/>
      <c r="D15" s="14"/>
      <c r="E15" s="15"/>
      <c r="F15" s="15"/>
      <c r="G15" s="15">
        <f t="shared" si="0"/>
        <v>-500000</v>
      </c>
      <c r="H15" s="14"/>
      <c r="I15" s="14"/>
    </row>
    <row r="16" spans="1:9" x14ac:dyDescent="0.25">
      <c r="A16" s="14"/>
      <c r="B16" s="14"/>
      <c r="C16" s="14"/>
      <c r="D16" s="14"/>
      <c r="E16" s="15"/>
      <c r="F16" s="15"/>
      <c r="G16" s="15">
        <f t="shared" si="0"/>
        <v>-500000</v>
      </c>
      <c r="H16" s="14"/>
      <c r="I16" s="14"/>
    </row>
    <row r="17" spans="1:9" x14ac:dyDescent="0.25">
      <c r="A17" s="14"/>
      <c r="B17" s="14"/>
      <c r="C17" s="14"/>
      <c r="D17" s="14"/>
      <c r="E17" s="15"/>
      <c r="F17" s="15"/>
      <c r="G17" s="15">
        <f t="shared" si="0"/>
        <v>-500000</v>
      </c>
      <c r="H17" s="14"/>
      <c r="I17" s="14"/>
    </row>
    <row r="18" spans="1:9" x14ac:dyDescent="0.25">
      <c r="A18" s="14"/>
      <c r="B18" s="14"/>
      <c r="C18" s="14"/>
      <c r="D18" s="14"/>
      <c r="E18" s="15"/>
      <c r="F18" s="15"/>
      <c r="G18" s="15">
        <f t="shared" si="0"/>
        <v>-500000</v>
      </c>
      <c r="H18" s="14"/>
      <c r="I18" s="14"/>
    </row>
    <row r="19" spans="1:9" x14ac:dyDescent="0.25">
      <c r="A19" s="14"/>
      <c r="B19" s="14"/>
      <c r="C19" s="14"/>
      <c r="D19" s="14"/>
      <c r="E19" s="15"/>
      <c r="F19" s="15"/>
      <c r="G19" s="15">
        <f t="shared" si="0"/>
        <v>-500000</v>
      </c>
      <c r="H19" s="14"/>
      <c r="I19" s="14"/>
    </row>
    <row r="20" spans="1:9" x14ac:dyDescent="0.25">
      <c r="A20" s="14"/>
      <c r="B20" s="14"/>
      <c r="C20" s="14"/>
      <c r="D20" s="14"/>
      <c r="E20" s="15"/>
      <c r="F20" s="15"/>
      <c r="G20" s="15">
        <f t="shared" si="0"/>
        <v>-500000</v>
      </c>
      <c r="H20" s="14"/>
      <c r="I20" s="14"/>
    </row>
    <row r="21" spans="1:9" x14ac:dyDescent="0.25">
      <c r="A21" s="14"/>
      <c r="B21" s="14"/>
      <c r="C21" s="14"/>
      <c r="D21" s="14"/>
      <c r="E21" s="15"/>
      <c r="F21" s="15"/>
      <c r="G21" s="15">
        <f t="shared" si="0"/>
        <v>-500000</v>
      </c>
      <c r="H21" s="14"/>
      <c r="I21" s="14"/>
    </row>
    <row r="22" spans="1:9" x14ac:dyDescent="0.25">
      <c r="A22" s="14"/>
      <c r="B22" s="14"/>
      <c r="C22" s="14"/>
      <c r="D22" s="14"/>
      <c r="E22" s="15"/>
      <c r="F22" s="15"/>
      <c r="G22" s="15">
        <f t="shared" si="0"/>
        <v>-500000</v>
      </c>
      <c r="H22" s="14"/>
      <c r="I22" s="14"/>
    </row>
    <row r="23" spans="1:9" x14ac:dyDescent="0.25">
      <c r="A23" s="14"/>
      <c r="B23" s="14"/>
      <c r="C23" s="14"/>
      <c r="D23" s="14"/>
      <c r="E23" s="15"/>
      <c r="F23" s="15"/>
      <c r="G23" s="15">
        <f t="shared" si="0"/>
        <v>-500000</v>
      </c>
      <c r="H23" s="14"/>
      <c r="I23" s="14"/>
    </row>
    <row r="24" spans="1:9" x14ac:dyDescent="0.25">
      <c r="A24" s="14"/>
      <c r="B24" s="14"/>
      <c r="C24" s="14"/>
      <c r="D24" s="14"/>
      <c r="E24" s="15"/>
      <c r="F24" s="15"/>
      <c r="G24" s="15">
        <f t="shared" si="0"/>
        <v>-500000</v>
      </c>
      <c r="H24" s="14"/>
      <c r="I24" s="14"/>
    </row>
    <row r="25" spans="1:9" x14ac:dyDescent="0.25">
      <c r="A25" s="14"/>
      <c r="B25" s="14"/>
      <c r="C25" s="14"/>
      <c r="D25" s="14"/>
      <c r="E25" s="15"/>
      <c r="F25" s="15"/>
      <c r="G25" s="15">
        <f t="shared" si="0"/>
        <v>-500000</v>
      </c>
      <c r="H25" s="14"/>
      <c r="I25" s="14"/>
    </row>
    <row r="26" spans="1:9" x14ac:dyDescent="0.25">
      <c r="A26" s="14"/>
      <c r="B26" s="14"/>
      <c r="C26" s="14"/>
      <c r="D26" s="14"/>
      <c r="E26" s="15"/>
      <c r="F26" s="15"/>
      <c r="G26" s="15">
        <f t="shared" si="0"/>
        <v>-500000</v>
      </c>
      <c r="H26" s="14"/>
      <c r="I26" s="14"/>
    </row>
    <row r="27" spans="1:9" x14ac:dyDescent="0.25">
      <c r="A27" s="14"/>
      <c r="B27" s="14"/>
      <c r="C27" s="14"/>
      <c r="D27" s="14"/>
      <c r="E27" s="15"/>
      <c r="F27" s="15"/>
      <c r="G27" s="15">
        <f t="shared" si="0"/>
        <v>-500000</v>
      </c>
      <c r="H27" s="14"/>
      <c r="I27" s="14"/>
    </row>
    <row r="28" spans="1:9" x14ac:dyDescent="0.25">
      <c r="A28" s="14"/>
      <c r="B28" s="14"/>
      <c r="C28" s="14"/>
      <c r="D28" s="14"/>
      <c r="E28" s="15"/>
      <c r="F28" s="15"/>
      <c r="G28" s="15">
        <f t="shared" si="0"/>
        <v>-500000</v>
      </c>
      <c r="H28" s="14"/>
      <c r="I28" s="14"/>
    </row>
    <row r="29" spans="1:9" x14ac:dyDescent="0.25">
      <c r="A29" s="14"/>
      <c r="B29" s="14"/>
      <c r="C29" s="14"/>
      <c r="D29" s="14"/>
      <c r="E29" s="15"/>
      <c r="F29" s="15"/>
      <c r="G29" s="15">
        <f t="shared" si="0"/>
        <v>-500000</v>
      </c>
      <c r="H29" s="14"/>
      <c r="I29" s="14"/>
    </row>
    <row r="30" spans="1:9" x14ac:dyDescent="0.25">
      <c r="A30" s="14"/>
      <c r="B30" s="14"/>
      <c r="C30" s="14"/>
      <c r="D30" s="14"/>
      <c r="E30" s="15"/>
      <c r="F30" s="15"/>
      <c r="G30" s="15">
        <f t="shared" si="0"/>
        <v>-500000</v>
      </c>
      <c r="H30" s="14"/>
      <c r="I30" s="14"/>
    </row>
    <row r="31" spans="1:9" x14ac:dyDescent="0.25">
      <c r="A31" s="14"/>
      <c r="B31" s="14"/>
      <c r="C31" s="14"/>
      <c r="D31" s="14"/>
      <c r="E31" s="15"/>
      <c r="F31" s="15"/>
      <c r="G31" s="15">
        <f t="shared" si="0"/>
        <v>-500000</v>
      </c>
      <c r="H31" s="14"/>
      <c r="I31" s="14"/>
    </row>
    <row r="32" spans="1:9" x14ac:dyDescent="0.25">
      <c r="A32" s="14"/>
      <c r="B32" s="14"/>
      <c r="C32" s="14"/>
      <c r="D32" s="14"/>
      <c r="E32" s="15"/>
      <c r="F32" s="15"/>
      <c r="G32" s="15">
        <f t="shared" si="0"/>
        <v>-500000</v>
      </c>
      <c r="H32" s="14"/>
      <c r="I32" s="14"/>
    </row>
    <row r="33" spans="1:9" x14ac:dyDescent="0.25">
      <c r="A33" s="14"/>
      <c r="B33" s="14"/>
      <c r="C33" s="14"/>
      <c r="D33" s="14"/>
      <c r="E33" s="15"/>
      <c r="F33" s="15"/>
      <c r="G33" s="15">
        <f t="shared" si="0"/>
        <v>-500000</v>
      </c>
      <c r="H33" s="14"/>
      <c r="I33" s="14"/>
    </row>
    <row r="34" spans="1:9" x14ac:dyDescent="0.25">
      <c r="A34" s="14"/>
      <c r="B34" s="14"/>
      <c r="C34" s="14"/>
      <c r="D34" s="14"/>
      <c r="E34" s="15"/>
      <c r="F34" s="15"/>
      <c r="G34" s="15">
        <f t="shared" si="0"/>
        <v>-500000</v>
      </c>
      <c r="H34" s="14"/>
      <c r="I34" s="14"/>
    </row>
    <row r="35" spans="1:9" x14ac:dyDescent="0.25">
      <c r="A35" s="14"/>
      <c r="B35" s="14"/>
      <c r="C35" s="14"/>
      <c r="D35" s="14"/>
      <c r="E35" s="15"/>
      <c r="F35" s="15"/>
      <c r="G35" s="15">
        <f t="shared" si="0"/>
        <v>-500000</v>
      </c>
      <c r="H35" s="14"/>
      <c r="I35" s="14"/>
    </row>
    <row r="36" spans="1:9" x14ac:dyDescent="0.25">
      <c r="A36" s="14"/>
      <c r="B36" s="14"/>
      <c r="C36" s="14"/>
      <c r="D36" s="14"/>
      <c r="E36" s="15"/>
      <c r="F36" s="15"/>
      <c r="G36" s="15">
        <f t="shared" si="0"/>
        <v>-500000</v>
      </c>
      <c r="H36" s="14"/>
      <c r="I36" s="14"/>
    </row>
    <row r="37" spans="1:9" x14ac:dyDescent="0.25">
      <c r="A37" s="14"/>
      <c r="B37" s="14"/>
      <c r="C37" s="14"/>
      <c r="D37" s="14"/>
      <c r="E37" s="15"/>
      <c r="F37" s="15"/>
      <c r="G37" s="15">
        <f t="shared" si="0"/>
        <v>-500000</v>
      </c>
      <c r="H37" s="14"/>
      <c r="I37" s="14"/>
    </row>
    <row r="38" spans="1:9" x14ac:dyDescent="0.25">
      <c r="A38" s="14"/>
      <c r="B38" s="14"/>
      <c r="C38" s="14"/>
      <c r="D38" s="14"/>
      <c r="E38" s="15"/>
      <c r="F38" s="15"/>
      <c r="G38" s="15">
        <f t="shared" si="0"/>
        <v>-500000</v>
      </c>
      <c r="H38" s="14"/>
      <c r="I38" s="14"/>
    </row>
    <row r="39" spans="1:9" x14ac:dyDescent="0.25">
      <c r="A39" s="14"/>
      <c r="B39" s="14"/>
      <c r="C39" s="14"/>
      <c r="D39" s="14"/>
      <c r="E39" s="15"/>
      <c r="F39" s="15"/>
      <c r="G39" s="15">
        <f t="shared" si="0"/>
        <v>-500000</v>
      </c>
      <c r="H39" s="14"/>
      <c r="I39" s="14"/>
    </row>
    <row r="40" spans="1:9" x14ac:dyDescent="0.25">
      <c r="A40" s="14"/>
      <c r="B40" s="14"/>
      <c r="C40" s="14"/>
      <c r="D40" s="14"/>
      <c r="E40" s="15"/>
      <c r="F40" s="15"/>
      <c r="G40" s="15">
        <f t="shared" si="0"/>
        <v>-500000</v>
      </c>
      <c r="H40" s="14"/>
      <c r="I40" s="14"/>
    </row>
    <row r="41" spans="1:9" x14ac:dyDescent="0.25">
      <c r="A41" s="14"/>
      <c r="B41" s="14"/>
      <c r="C41" s="14"/>
      <c r="D41" s="14"/>
      <c r="E41" s="15"/>
      <c r="F41" s="15"/>
      <c r="G41" s="15">
        <f t="shared" si="0"/>
        <v>-500000</v>
      </c>
      <c r="H41" s="14"/>
      <c r="I41" s="14"/>
    </row>
    <row r="42" spans="1:9" x14ac:dyDescent="0.25">
      <c r="A42" s="14"/>
      <c r="B42" s="14"/>
      <c r="C42" s="14"/>
      <c r="D42" s="14"/>
      <c r="E42" s="15"/>
      <c r="F42" s="15"/>
      <c r="G42" s="15">
        <f t="shared" si="0"/>
        <v>-500000</v>
      </c>
      <c r="H42" s="14"/>
      <c r="I42" s="14"/>
    </row>
    <row r="43" spans="1:9" x14ac:dyDescent="0.25">
      <c r="A43" s="14"/>
      <c r="B43" s="14"/>
      <c r="C43" s="14"/>
      <c r="D43" s="14"/>
      <c r="E43" s="15"/>
      <c r="F43" s="15"/>
      <c r="G43" s="15">
        <f t="shared" si="0"/>
        <v>-500000</v>
      </c>
      <c r="H43" s="14"/>
      <c r="I43" s="14"/>
    </row>
    <row r="44" spans="1:9" x14ac:dyDescent="0.25">
      <c r="A44" s="14"/>
      <c r="B44" s="14"/>
      <c r="C44" s="14"/>
      <c r="D44" s="14"/>
      <c r="E44" s="15"/>
      <c r="F44" s="15"/>
      <c r="G44" s="15">
        <f t="shared" si="0"/>
        <v>-500000</v>
      </c>
      <c r="H44" s="14"/>
      <c r="I44" s="14"/>
    </row>
    <row r="45" spans="1:9" x14ac:dyDescent="0.25">
      <c r="A45" s="14"/>
      <c r="B45" s="14"/>
      <c r="C45" s="14"/>
      <c r="D45" s="14"/>
      <c r="E45" s="15"/>
      <c r="F45" s="15"/>
      <c r="G45" s="15">
        <f t="shared" si="0"/>
        <v>-500000</v>
      </c>
      <c r="H45" s="14"/>
      <c r="I45" s="14"/>
    </row>
    <row r="46" spans="1:9" x14ac:dyDescent="0.25">
      <c r="A46" s="14"/>
      <c r="B46" s="14"/>
      <c r="C46" s="14"/>
      <c r="D46" s="14"/>
      <c r="E46" s="15"/>
      <c r="F46" s="15"/>
      <c r="G46" s="15">
        <f t="shared" si="0"/>
        <v>-500000</v>
      </c>
      <c r="H46" s="14"/>
      <c r="I46" s="14"/>
    </row>
    <row r="47" spans="1:9" x14ac:dyDescent="0.25">
      <c r="A47" s="14"/>
      <c r="B47" s="14"/>
      <c r="C47" s="14"/>
      <c r="D47" s="14"/>
      <c r="E47" s="15"/>
      <c r="F47" s="15"/>
      <c r="G47" s="15">
        <f t="shared" si="0"/>
        <v>-500000</v>
      </c>
      <c r="H47" s="14"/>
      <c r="I47" s="14"/>
    </row>
    <row r="48" spans="1:9" x14ac:dyDescent="0.25">
      <c r="A48" s="14"/>
      <c r="B48" s="14"/>
      <c r="C48" s="14"/>
      <c r="D48" s="14"/>
      <c r="E48" s="15"/>
      <c r="F48" s="15"/>
      <c r="G48" s="15">
        <f t="shared" si="0"/>
        <v>-500000</v>
      </c>
      <c r="H48" s="14"/>
      <c r="I48" s="14"/>
    </row>
    <row r="49" spans="1:9" x14ac:dyDescent="0.25">
      <c r="A49" s="14"/>
      <c r="B49" s="14"/>
      <c r="C49" s="14"/>
      <c r="D49" s="14"/>
      <c r="E49" s="15"/>
      <c r="F49" s="15"/>
      <c r="G49" s="15">
        <f t="shared" si="0"/>
        <v>-500000</v>
      </c>
      <c r="H49" s="14"/>
      <c r="I49" s="14"/>
    </row>
    <row r="50" spans="1:9" x14ac:dyDescent="0.25">
      <c r="A50" s="14"/>
      <c r="B50" s="14"/>
      <c r="C50" s="14"/>
      <c r="D50" s="14"/>
      <c r="E50" s="15"/>
      <c r="F50" s="15"/>
      <c r="G50" s="15">
        <f t="shared" si="0"/>
        <v>-500000</v>
      </c>
      <c r="H50" s="14"/>
      <c r="I50" s="14"/>
    </row>
    <row r="51" spans="1:9" x14ac:dyDescent="0.25">
      <c r="A51" s="14"/>
      <c r="B51" s="14"/>
      <c r="C51" s="14"/>
      <c r="D51" s="14"/>
      <c r="E51" s="15"/>
      <c r="F51" s="15"/>
      <c r="G51" s="15">
        <f t="shared" si="0"/>
        <v>-500000</v>
      </c>
      <c r="H51" s="14"/>
      <c r="I51" s="14"/>
    </row>
    <row r="52" spans="1:9" x14ac:dyDescent="0.25">
      <c r="A52" s="14"/>
      <c r="B52" s="14"/>
      <c r="C52" s="14"/>
      <c r="D52" s="14"/>
      <c r="E52" s="15"/>
      <c r="F52" s="15"/>
      <c r="G52" s="15">
        <f t="shared" si="0"/>
        <v>-500000</v>
      </c>
      <c r="H52" s="14"/>
      <c r="I52" s="14"/>
    </row>
    <row r="53" spans="1:9" x14ac:dyDescent="0.25">
      <c r="A53" s="14"/>
      <c r="B53" s="14"/>
      <c r="C53" s="14"/>
      <c r="D53" s="14"/>
      <c r="E53" s="15"/>
      <c r="F53" s="15"/>
      <c r="G53" s="15">
        <f t="shared" si="0"/>
        <v>-500000</v>
      </c>
      <c r="H53" s="14"/>
      <c r="I53" s="14"/>
    </row>
    <row r="54" spans="1:9" x14ac:dyDescent="0.25">
      <c r="A54" s="14"/>
      <c r="B54" s="14"/>
      <c r="C54" s="14"/>
      <c r="D54" s="14"/>
      <c r="E54" s="15"/>
      <c r="F54" s="15"/>
      <c r="G54" s="15">
        <f t="shared" si="0"/>
        <v>-500000</v>
      </c>
      <c r="H54" s="14"/>
      <c r="I54" s="14"/>
    </row>
    <row r="55" spans="1:9" x14ac:dyDescent="0.25">
      <c r="A55" s="14"/>
      <c r="B55" s="14"/>
      <c r="C55" s="14"/>
      <c r="D55" s="14"/>
      <c r="E55" s="15"/>
      <c r="F55" s="15"/>
      <c r="G55" s="15">
        <f t="shared" si="0"/>
        <v>-500000</v>
      </c>
      <c r="H55" s="14"/>
      <c r="I55" s="14"/>
    </row>
    <row r="56" spans="1:9" x14ac:dyDescent="0.25">
      <c r="A56" s="14"/>
      <c r="B56" s="14"/>
      <c r="C56" s="14"/>
      <c r="D56" s="14"/>
      <c r="E56" s="15"/>
      <c r="F56" s="15"/>
      <c r="G56" s="15">
        <f t="shared" si="0"/>
        <v>-500000</v>
      </c>
      <c r="H56" s="14"/>
      <c r="I56" s="14"/>
    </row>
    <row r="57" spans="1:9" x14ac:dyDescent="0.25">
      <c r="A57" s="14"/>
      <c r="B57" s="14"/>
      <c r="C57" s="14"/>
      <c r="D57" s="14"/>
      <c r="E57" s="15"/>
      <c r="F57" s="15"/>
      <c r="G57" s="15">
        <f t="shared" si="0"/>
        <v>-500000</v>
      </c>
      <c r="H57" s="14"/>
      <c r="I57" s="14"/>
    </row>
    <row r="58" spans="1:9" x14ac:dyDescent="0.25">
      <c r="A58" s="14"/>
      <c r="B58" s="14"/>
      <c r="C58" s="14"/>
      <c r="D58" s="14"/>
      <c r="E58" s="15"/>
      <c r="F58" s="15"/>
      <c r="G58" s="15">
        <f t="shared" si="0"/>
        <v>-500000</v>
      </c>
      <c r="H58" s="14"/>
      <c r="I58" s="14"/>
    </row>
    <row r="59" spans="1:9" x14ac:dyDescent="0.25">
      <c r="A59" s="14"/>
      <c r="B59" s="14"/>
      <c r="C59" s="14"/>
      <c r="D59" s="14"/>
      <c r="E59" s="15"/>
      <c r="F59" s="15"/>
      <c r="G59" s="15">
        <f t="shared" si="0"/>
        <v>-500000</v>
      </c>
      <c r="H59" s="14"/>
      <c r="I59" s="14"/>
    </row>
    <row r="60" spans="1:9" x14ac:dyDescent="0.25">
      <c r="A60" s="14"/>
      <c r="B60" s="14"/>
      <c r="C60" s="14"/>
      <c r="D60" s="14"/>
      <c r="E60" s="15"/>
      <c r="F60" s="15"/>
      <c r="G60" s="15">
        <f t="shared" si="0"/>
        <v>-500000</v>
      </c>
      <c r="H60" s="14"/>
      <c r="I60" s="14"/>
    </row>
    <row r="61" spans="1:9" x14ac:dyDescent="0.25">
      <c r="A61" s="14"/>
      <c r="B61" s="14"/>
      <c r="C61" s="14"/>
      <c r="D61" s="14"/>
      <c r="E61" s="15"/>
      <c r="F61" s="15"/>
      <c r="G61" s="15">
        <f t="shared" si="0"/>
        <v>-500000</v>
      </c>
      <c r="H61" s="14"/>
      <c r="I61" s="14"/>
    </row>
    <row r="62" spans="1:9" x14ac:dyDescent="0.25">
      <c r="A62" s="14"/>
      <c r="B62" s="14"/>
      <c r="C62" s="14"/>
      <c r="D62" s="14"/>
      <c r="E62" s="15"/>
      <c r="F62" s="15"/>
      <c r="G62" s="15">
        <f t="shared" si="0"/>
        <v>-500000</v>
      </c>
      <c r="H62" s="14"/>
      <c r="I62" s="14"/>
    </row>
    <row r="63" spans="1:9" x14ac:dyDescent="0.25">
      <c r="A63" s="14"/>
      <c r="B63" s="14"/>
      <c r="C63" s="14"/>
      <c r="D63" s="14"/>
      <c r="E63" s="15"/>
      <c r="F63" s="15"/>
      <c r="G63" s="15">
        <f t="shared" si="0"/>
        <v>-500000</v>
      </c>
      <c r="H63" s="14"/>
      <c r="I63" s="14"/>
    </row>
    <row r="64" spans="1:9" x14ac:dyDescent="0.25">
      <c r="A64" s="14"/>
      <c r="B64" s="14"/>
      <c r="C64" s="14"/>
      <c r="D64" s="14"/>
      <c r="E64" s="15"/>
      <c r="F64" s="15"/>
      <c r="G64" s="15">
        <f t="shared" si="0"/>
        <v>-500000</v>
      </c>
      <c r="H64" s="14"/>
      <c r="I64" s="14"/>
    </row>
    <row r="65" spans="1:9" x14ac:dyDescent="0.25">
      <c r="A65" s="14"/>
      <c r="B65" s="14"/>
      <c r="C65" s="14"/>
      <c r="D65" s="14"/>
      <c r="E65" s="15"/>
      <c r="F65" s="15"/>
      <c r="G65" s="15">
        <f t="shared" si="0"/>
        <v>-500000</v>
      </c>
      <c r="H65" s="14"/>
      <c r="I65" s="14"/>
    </row>
    <row r="66" spans="1:9" x14ac:dyDescent="0.25">
      <c r="A66" s="14"/>
      <c r="B66" s="14"/>
      <c r="C66" s="14"/>
      <c r="D66" s="14"/>
      <c r="E66" s="15"/>
      <c r="F66" s="15"/>
      <c r="G66" s="15">
        <f t="shared" si="0"/>
        <v>-500000</v>
      </c>
      <c r="H66" s="14"/>
      <c r="I66" s="14"/>
    </row>
    <row r="67" spans="1:9" x14ac:dyDescent="0.25">
      <c r="A67" s="14"/>
      <c r="B67" s="14"/>
      <c r="C67" s="14"/>
      <c r="D67" s="14"/>
      <c r="E67" s="15"/>
      <c r="F67" s="15"/>
      <c r="G67" s="15">
        <f t="shared" si="0"/>
        <v>-500000</v>
      </c>
      <c r="H67" s="14"/>
      <c r="I67" s="14"/>
    </row>
    <row r="68" spans="1:9" x14ac:dyDescent="0.25">
      <c r="A68" s="14"/>
      <c r="B68" s="14"/>
      <c r="C68" s="14"/>
      <c r="D68" s="14"/>
      <c r="E68" s="15"/>
      <c r="F68" s="15"/>
      <c r="G68" s="15">
        <f t="shared" si="0"/>
        <v>-500000</v>
      </c>
      <c r="H68" s="14"/>
      <c r="I68" s="14"/>
    </row>
    <row r="69" spans="1:9" x14ac:dyDescent="0.25">
      <c r="A69" s="14"/>
      <c r="B69" s="14"/>
      <c r="C69" s="14"/>
      <c r="D69" s="14"/>
      <c r="E69" s="15"/>
      <c r="F69" s="15"/>
      <c r="G69" s="15">
        <f t="shared" ref="G69:G132" si="1">G68+E69-F69</f>
        <v>-500000</v>
      </c>
      <c r="H69" s="14"/>
      <c r="I69" s="14"/>
    </row>
    <row r="70" spans="1:9" x14ac:dyDescent="0.25">
      <c r="A70" s="14"/>
      <c r="B70" s="14"/>
      <c r="C70" s="14"/>
      <c r="D70" s="14"/>
      <c r="E70" s="15"/>
      <c r="F70" s="15"/>
      <c r="G70" s="15">
        <f t="shared" si="1"/>
        <v>-500000</v>
      </c>
      <c r="H70" s="14"/>
      <c r="I70" s="14"/>
    </row>
    <row r="71" spans="1:9" x14ac:dyDescent="0.25">
      <c r="A71" s="14"/>
      <c r="B71" s="14"/>
      <c r="C71" s="14"/>
      <c r="D71" s="14"/>
      <c r="E71" s="15"/>
      <c r="F71" s="15"/>
      <c r="G71" s="15">
        <f t="shared" si="1"/>
        <v>-500000</v>
      </c>
      <c r="H71" s="14"/>
      <c r="I71" s="14"/>
    </row>
    <row r="72" spans="1:9" x14ac:dyDescent="0.25">
      <c r="A72" s="14"/>
      <c r="B72" s="14"/>
      <c r="C72" s="14"/>
      <c r="D72" s="14"/>
      <c r="E72" s="15"/>
      <c r="F72" s="15"/>
      <c r="G72" s="15">
        <f t="shared" si="1"/>
        <v>-500000</v>
      </c>
      <c r="H72" s="14"/>
      <c r="I72" s="14"/>
    </row>
    <row r="73" spans="1:9" x14ac:dyDescent="0.25">
      <c r="A73" s="14"/>
      <c r="B73" s="14"/>
      <c r="C73" s="14"/>
      <c r="D73" s="14"/>
      <c r="E73" s="15"/>
      <c r="F73" s="15"/>
      <c r="G73" s="15">
        <f t="shared" si="1"/>
        <v>-500000</v>
      </c>
      <c r="H73" s="14"/>
      <c r="I73" s="14"/>
    </row>
    <row r="74" spans="1:9" x14ac:dyDescent="0.25">
      <c r="A74" s="14"/>
      <c r="B74" s="14"/>
      <c r="C74" s="14"/>
      <c r="D74" s="14"/>
      <c r="E74" s="15"/>
      <c r="F74" s="15"/>
      <c r="G74" s="15">
        <f t="shared" si="1"/>
        <v>-500000</v>
      </c>
      <c r="H74" s="14"/>
      <c r="I74" s="14"/>
    </row>
    <row r="75" spans="1:9" x14ac:dyDescent="0.25">
      <c r="A75" s="14"/>
      <c r="B75" s="14"/>
      <c r="C75" s="14"/>
      <c r="D75" s="14"/>
      <c r="E75" s="15"/>
      <c r="F75" s="15"/>
      <c r="G75" s="15">
        <f t="shared" si="1"/>
        <v>-500000</v>
      </c>
      <c r="H75" s="14"/>
      <c r="I75" s="14"/>
    </row>
    <row r="76" spans="1:9" x14ac:dyDescent="0.25">
      <c r="A76" s="14"/>
      <c r="B76" s="14"/>
      <c r="C76" s="14"/>
      <c r="D76" s="14"/>
      <c r="E76" s="15"/>
      <c r="F76" s="15"/>
      <c r="G76" s="15">
        <f t="shared" si="1"/>
        <v>-500000</v>
      </c>
      <c r="H76" s="14"/>
      <c r="I76" s="14"/>
    </row>
    <row r="77" spans="1:9" x14ac:dyDescent="0.25">
      <c r="A77" s="14"/>
      <c r="B77" s="14"/>
      <c r="C77" s="14"/>
      <c r="D77" s="14"/>
      <c r="E77" s="15"/>
      <c r="F77" s="15"/>
      <c r="G77" s="15">
        <f t="shared" si="1"/>
        <v>-500000</v>
      </c>
      <c r="H77" s="14"/>
      <c r="I77" s="14"/>
    </row>
    <row r="78" spans="1:9" x14ac:dyDescent="0.25">
      <c r="A78" s="14"/>
      <c r="B78" s="14"/>
      <c r="C78" s="14"/>
      <c r="D78" s="14"/>
      <c r="E78" s="15"/>
      <c r="F78" s="15"/>
      <c r="G78" s="15">
        <f t="shared" si="1"/>
        <v>-500000</v>
      </c>
      <c r="H78" s="14"/>
      <c r="I78" s="14"/>
    </row>
    <row r="79" spans="1:9" x14ac:dyDescent="0.25">
      <c r="A79" s="14"/>
      <c r="B79" s="14"/>
      <c r="C79" s="14"/>
      <c r="D79" s="14"/>
      <c r="E79" s="15"/>
      <c r="F79" s="15"/>
      <c r="G79" s="15">
        <f t="shared" si="1"/>
        <v>-500000</v>
      </c>
      <c r="H79" s="14"/>
      <c r="I79" s="14"/>
    </row>
    <row r="80" spans="1:9" x14ac:dyDescent="0.25">
      <c r="A80" s="14"/>
      <c r="B80" s="14"/>
      <c r="C80" s="14"/>
      <c r="D80" s="14"/>
      <c r="E80" s="15"/>
      <c r="F80" s="15"/>
      <c r="G80" s="15">
        <f t="shared" si="1"/>
        <v>-500000</v>
      </c>
      <c r="H80" s="14"/>
      <c r="I80" s="14"/>
    </row>
    <row r="81" spans="1:9" x14ac:dyDescent="0.25">
      <c r="A81" s="14"/>
      <c r="B81" s="14"/>
      <c r="C81" s="14"/>
      <c r="D81" s="14"/>
      <c r="E81" s="15"/>
      <c r="F81" s="15"/>
      <c r="G81" s="15">
        <f t="shared" si="1"/>
        <v>-500000</v>
      </c>
      <c r="H81" s="14"/>
      <c r="I81" s="14"/>
    </row>
    <row r="82" spans="1:9" x14ac:dyDescent="0.25">
      <c r="A82" s="14"/>
      <c r="B82" s="14"/>
      <c r="C82" s="14"/>
      <c r="D82" s="14"/>
      <c r="E82" s="15"/>
      <c r="F82" s="15"/>
      <c r="G82" s="15">
        <f t="shared" si="1"/>
        <v>-500000</v>
      </c>
      <c r="H82" s="14"/>
      <c r="I82" s="14"/>
    </row>
    <row r="83" spans="1:9" x14ac:dyDescent="0.25">
      <c r="A83" s="14"/>
      <c r="B83" s="14"/>
      <c r="C83" s="14"/>
      <c r="D83" s="14"/>
      <c r="E83" s="15"/>
      <c r="F83" s="15"/>
      <c r="G83" s="15">
        <f t="shared" si="1"/>
        <v>-500000</v>
      </c>
      <c r="H83" s="14"/>
      <c r="I83" s="14"/>
    </row>
    <row r="84" spans="1:9" x14ac:dyDescent="0.25">
      <c r="A84" s="14"/>
      <c r="B84" s="14"/>
      <c r="C84" s="14"/>
      <c r="D84" s="14"/>
      <c r="E84" s="15"/>
      <c r="F84" s="15"/>
      <c r="G84" s="15">
        <f t="shared" si="1"/>
        <v>-500000</v>
      </c>
      <c r="H84" s="14"/>
      <c r="I84" s="14"/>
    </row>
    <row r="85" spans="1:9" x14ac:dyDescent="0.25">
      <c r="A85" s="14"/>
      <c r="B85" s="14"/>
      <c r="C85" s="14"/>
      <c r="D85" s="14"/>
      <c r="E85" s="15"/>
      <c r="F85" s="15"/>
      <c r="G85" s="15">
        <f t="shared" si="1"/>
        <v>-500000</v>
      </c>
      <c r="H85" s="14"/>
      <c r="I85" s="14"/>
    </row>
    <row r="86" spans="1:9" x14ac:dyDescent="0.25">
      <c r="A86" s="14"/>
      <c r="B86" s="14"/>
      <c r="C86" s="14"/>
      <c r="D86" s="14"/>
      <c r="E86" s="15"/>
      <c r="F86" s="15"/>
      <c r="G86" s="15">
        <f t="shared" si="1"/>
        <v>-500000</v>
      </c>
      <c r="H86" s="14"/>
      <c r="I86" s="14"/>
    </row>
    <row r="87" spans="1:9" x14ac:dyDescent="0.25">
      <c r="A87" s="14"/>
      <c r="B87" s="14"/>
      <c r="C87" s="14"/>
      <c r="D87" s="14"/>
      <c r="E87" s="15"/>
      <c r="F87" s="15"/>
      <c r="G87" s="15">
        <f t="shared" si="1"/>
        <v>-500000</v>
      </c>
      <c r="H87" s="14"/>
      <c r="I87" s="14"/>
    </row>
    <row r="88" spans="1:9" x14ac:dyDescent="0.25">
      <c r="A88" s="14"/>
      <c r="B88" s="14"/>
      <c r="C88" s="14"/>
      <c r="D88" s="14"/>
      <c r="E88" s="15"/>
      <c r="F88" s="15"/>
      <c r="G88" s="15">
        <f t="shared" si="1"/>
        <v>-500000</v>
      </c>
      <c r="H88" s="14"/>
      <c r="I88" s="14"/>
    </row>
    <row r="89" spans="1:9" x14ac:dyDescent="0.25">
      <c r="A89" s="14"/>
      <c r="B89" s="14"/>
      <c r="C89" s="14"/>
      <c r="D89" s="14"/>
      <c r="E89" s="15"/>
      <c r="F89" s="15"/>
      <c r="G89" s="15">
        <f t="shared" si="1"/>
        <v>-500000</v>
      </c>
      <c r="H89" s="14"/>
      <c r="I89" s="14"/>
    </row>
    <row r="90" spans="1:9" x14ac:dyDescent="0.25">
      <c r="A90" s="14"/>
      <c r="B90" s="14"/>
      <c r="C90" s="14"/>
      <c r="D90" s="14"/>
      <c r="E90" s="15"/>
      <c r="F90" s="15"/>
      <c r="G90" s="15">
        <f t="shared" si="1"/>
        <v>-500000</v>
      </c>
      <c r="H90" s="14"/>
      <c r="I90" s="14"/>
    </row>
    <row r="91" spans="1:9" x14ac:dyDescent="0.25">
      <c r="A91" s="14"/>
      <c r="B91" s="14"/>
      <c r="C91" s="14"/>
      <c r="D91" s="14"/>
      <c r="E91" s="15"/>
      <c r="F91" s="15"/>
      <c r="G91" s="15">
        <f t="shared" si="1"/>
        <v>-500000</v>
      </c>
      <c r="H91" s="14"/>
      <c r="I91" s="14"/>
    </row>
    <row r="92" spans="1:9" x14ac:dyDescent="0.25">
      <c r="A92" s="14"/>
      <c r="B92" s="14"/>
      <c r="C92" s="14"/>
      <c r="D92" s="14"/>
      <c r="E92" s="15"/>
      <c r="F92" s="15"/>
      <c r="G92" s="15">
        <f t="shared" si="1"/>
        <v>-500000</v>
      </c>
      <c r="H92" s="14"/>
      <c r="I92" s="14"/>
    </row>
    <row r="93" spans="1:9" x14ac:dyDescent="0.25">
      <c r="A93" s="14"/>
      <c r="B93" s="14"/>
      <c r="C93" s="14"/>
      <c r="D93" s="14"/>
      <c r="E93" s="15"/>
      <c r="F93" s="15"/>
      <c r="G93" s="15">
        <f t="shared" si="1"/>
        <v>-500000</v>
      </c>
      <c r="H93" s="14"/>
      <c r="I93" s="14"/>
    </row>
    <row r="94" spans="1:9" x14ac:dyDescent="0.25">
      <c r="A94" s="14"/>
      <c r="B94" s="14"/>
      <c r="C94" s="14"/>
      <c r="D94" s="14"/>
      <c r="E94" s="15"/>
      <c r="F94" s="15"/>
      <c r="G94" s="15">
        <f t="shared" si="1"/>
        <v>-500000</v>
      </c>
      <c r="H94" s="14"/>
      <c r="I94" s="14"/>
    </row>
    <row r="95" spans="1:9" x14ac:dyDescent="0.25">
      <c r="A95" s="14"/>
      <c r="B95" s="14"/>
      <c r="C95" s="14"/>
      <c r="D95" s="14"/>
      <c r="E95" s="15"/>
      <c r="F95" s="15"/>
      <c r="G95" s="15">
        <f t="shared" si="1"/>
        <v>-500000</v>
      </c>
      <c r="H95" s="14"/>
      <c r="I95" s="14"/>
    </row>
    <row r="96" spans="1:9" x14ac:dyDescent="0.25">
      <c r="A96" s="14"/>
      <c r="B96" s="14"/>
      <c r="C96" s="14"/>
      <c r="D96" s="14"/>
      <c r="E96" s="15"/>
      <c r="F96" s="15"/>
      <c r="G96" s="15">
        <f t="shared" si="1"/>
        <v>-500000</v>
      </c>
      <c r="H96" s="14"/>
      <c r="I96" s="14"/>
    </row>
    <row r="97" spans="1:9" x14ac:dyDescent="0.25">
      <c r="A97" s="14"/>
      <c r="B97" s="14"/>
      <c r="C97" s="14"/>
      <c r="D97" s="14"/>
      <c r="E97" s="15"/>
      <c r="F97" s="15"/>
      <c r="G97" s="15">
        <f t="shared" si="1"/>
        <v>-500000</v>
      </c>
      <c r="H97" s="14"/>
      <c r="I97" s="14"/>
    </row>
    <row r="98" spans="1:9" x14ac:dyDescent="0.25">
      <c r="A98" s="14"/>
      <c r="B98" s="14"/>
      <c r="C98" s="14"/>
      <c r="D98" s="14"/>
      <c r="E98" s="15"/>
      <c r="F98" s="15"/>
      <c r="G98" s="15">
        <f t="shared" si="1"/>
        <v>-500000</v>
      </c>
      <c r="H98" s="14"/>
      <c r="I98" s="14"/>
    </row>
    <row r="99" spans="1:9" x14ac:dyDescent="0.25">
      <c r="A99" s="14"/>
      <c r="B99" s="14"/>
      <c r="C99" s="14"/>
      <c r="D99" s="14"/>
      <c r="E99" s="15"/>
      <c r="F99" s="15"/>
      <c r="G99" s="15">
        <f t="shared" si="1"/>
        <v>-500000</v>
      </c>
      <c r="H99" s="14"/>
      <c r="I99" s="14"/>
    </row>
    <row r="100" spans="1:9" x14ac:dyDescent="0.25">
      <c r="A100" s="14"/>
      <c r="B100" s="14"/>
      <c r="C100" s="14"/>
      <c r="D100" s="14"/>
      <c r="E100" s="15"/>
      <c r="F100" s="15"/>
      <c r="G100" s="15">
        <f t="shared" si="1"/>
        <v>-500000</v>
      </c>
      <c r="H100" s="14"/>
      <c r="I100" s="14"/>
    </row>
    <row r="101" spans="1:9" x14ac:dyDescent="0.25">
      <c r="A101" s="14"/>
      <c r="B101" s="14"/>
      <c r="C101" s="14"/>
      <c r="D101" s="14"/>
      <c r="E101" s="15"/>
      <c r="F101" s="15"/>
      <c r="G101" s="15">
        <f t="shared" si="1"/>
        <v>-500000</v>
      </c>
      <c r="H101" s="14"/>
      <c r="I101" s="14"/>
    </row>
    <row r="102" spans="1:9" x14ac:dyDescent="0.25">
      <c r="A102" s="14"/>
      <c r="B102" s="14"/>
      <c r="C102" s="14"/>
      <c r="D102" s="14"/>
      <c r="E102" s="15"/>
      <c r="F102" s="15"/>
      <c r="G102" s="15">
        <f t="shared" si="1"/>
        <v>-500000</v>
      </c>
      <c r="H102" s="14"/>
      <c r="I102" s="14"/>
    </row>
    <row r="103" spans="1:9" x14ac:dyDescent="0.25">
      <c r="A103" s="14"/>
      <c r="B103" s="14"/>
      <c r="C103" s="14"/>
      <c r="D103" s="14"/>
      <c r="E103" s="15"/>
      <c r="F103" s="15"/>
      <c r="G103" s="15">
        <f t="shared" si="1"/>
        <v>-500000</v>
      </c>
      <c r="H103" s="14"/>
      <c r="I103" s="14"/>
    </row>
    <row r="104" spans="1:9" x14ac:dyDescent="0.25">
      <c r="A104" s="14"/>
      <c r="B104" s="14"/>
      <c r="C104" s="14"/>
      <c r="D104" s="14"/>
      <c r="E104" s="15"/>
      <c r="F104" s="15"/>
      <c r="G104" s="15">
        <f t="shared" si="1"/>
        <v>-500000</v>
      </c>
      <c r="H104" s="14"/>
      <c r="I104" s="14"/>
    </row>
    <row r="105" spans="1:9" x14ac:dyDescent="0.25">
      <c r="A105" s="14"/>
      <c r="B105" s="14"/>
      <c r="C105" s="14"/>
      <c r="D105" s="14"/>
      <c r="E105" s="15"/>
      <c r="F105" s="15"/>
      <c r="G105" s="15">
        <f t="shared" si="1"/>
        <v>-500000</v>
      </c>
      <c r="H105" s="14"/>
      <c r="I105" s="14"/>
    </row>
    <row r="106" spans="1:9" x14ac:dyDescent="0.25">
      <c r="A106" s="14"/>
      <c r="B106" s="14"/>
      <c r="C106" s="14"/>
      <c r="D106" s="14"/>
      <c r="E106" s="15"/>
      <c r="F106" s="15"/>
      <c r="G106" s="15">
        <f t="shared" si="1"/>
        <v>-500000</v>
      </c>
      <c r="H106" s="14"/>
      <c r="I106" s="14"/>
    </row>
    <row r="107" spans="1:9" x14ac:dyDescent="0.25">
      <c r="A107" s="14"/>
      <c r="B107" s="14"/>
      <c r="C107" s="14"/>
      <c r="D107" s="14"/>
      <c r="E107" s="15"/>
      <c r="F107" s="15"/>
      <c r="G107" s="15">
        <f t="shared" si="1"/>
        <v>-500000</v>
      </c>
      <c r="H107" s="14"/>
      <c r="I107" s="14"/>
    </row>
    <row r="108" spans="1:9" x14ac:dyDescent="0.25">
      <c r="A108" s="14"/>
      <c r="B108" s="14"/>
      <c r="C108" s="14"/>
      <c r="D108" s="14"/>
      <c r="E108" s="15"/>
      <c r="F108" s="15"/>
      <c r="G108" s="15">
        <f t="shared" si="1"/>
        <v>-500000</v>
      </c>
      <c r="H108" s="14"/>
      <c r="I108" s="14"/>
    </row>
    <row r="109" spans="1:9" x14ac:dyDescent="0.25">
      <c r="A109" s="14"/>
      <c r="B109" s="14"/>
      <c r="C109" s="14"/>
      <c r="D109" s="14"/>
      <c r="E109" s="15"/>
      <c r="F109" s="15"/>
      <c r="G109" s="15">
        <f t="shared" si="1"/>
        <v>-500000</v>
      </c>
      <c r="H109" s="14"/>
      <c r="I109" s="14"/>
    </row>
    <row r="110" spans="1:9" x14ac:dyDescent="0.25">
      <c r="A110" s="14"/>
      <c r="B110" s="14"/>
      <c r="C110" s="14"/>
      <c r="D110" s="14"/>
      <c r="E110" s="15"/>
      <c r="F110" s="15"/>
      <c r="G110" s="15">
        <f t="shared" si="1"/>
        <v>-500000</v>
      </c>
      <c r="H110" s="14"/>
      <c r="I110" s="14"/>
    </row>
    <row r="111" spans="1:9" x14ac:dyDescent="0.25">
      <c r="A111" s="14"/>
      <c r="B111" s="14"/>
      <c r="C111" s="14"/>
      <c r="D111" s="14"/>
      <c r="E111" s="15"/>
      <c r="F111" s="15"/>
      <c r="G111" s="15">
        <f t="shared" si="1"/>
        <v>-500000</v>
      </c>
      <c r="H111" s="14"/>
      <c r="I111" s="14"/>
    </row>
    <row r="112" spans="1:9" x14ac:dyDescent="0.25">
      <c r="A112" s="14"/>
      <c r="B112" s="14"/>
      <c r="C112" s="14"/>
      <c r="D112" s="14"/>
      <c r="E112" s="15"/>
      <c r="F112" s="15"/>
      <c r="G112" s="15">
        <f t="shared" si="1"/>
        <v>-500000</v>
      </c>
      <c r="H112" s="14"/>
      <c r="I112" s="14"/>
    </row>
    <row r="113" spans="1:9" x14ac:dyDescent="0.25">
      <c r="A113" s="14"/>
      <c r="B113" s="14"/>
      <c r="C113" s="14"/>
      <c r="D113" s="14"/>
      <c r="E113" s="15"/>
      <c r="F113" s="15"/>
      <c r="G113" s="15">
        <f t="shared" si="1"/>
        <v>-500000</v>
      </c>
      <c r="H113" s="14"/>
      <c r="I113" s="14"/>
    </row>
    <row r="114" spans="1:9" x14ac:dyDescent="0.25">
      <c r="A114" s="14"/>
      <c r="B114" s="14"/>
      <c r="C114" s="14"/>
      <c r="D114" s="14"/>
      <c r="E114" s="15"/>
      <c r="F114" s="15"/>
      <c r="G114" s="15">
        <f t="shared" si="1"/>
        <v>-500000</v>
      </c>
      <c r="H114" s="14"/>
      <c r="I114" s="14"/>
    </row>
    <row r="115" spans="1:9" x14ac:dyDescent="0.25">
      <c r="A115" s="14"/>
      <c r="B115" s="14"/>
      <c r="C115" s="14"/>
      <c r="D115" s="14"/>
      <c r="E115" s="15"/>
      <c r="F115" s="15"/>
      <c r="G115" s="15">
        <f t="shared" si="1"/>
        <v>-500000</v>
      </c>
      <c r="H115" s="14"/>
      <c r="I115" s="14"/>
    </row>
    <row r="116" spans="1:9" x14ac:dyDescent="0.25">
      <c r="A116" s="14"/>
      <c r="B116" s="14"/>
      <c r="C116" s="14"/>
      <c r="D116" s="14"/>
      <c r="E116" s="15"/>
      <c r="F116" s="15"/>
      <c r="G116" s="15">
        <f t="shared" si="1"/>
        <v>-500000</v>
      </c>
      <c r="H116" s="14"/>
      <c r="I116" s="14"/>
    </row>
    <row r="117" spans="1:9" x14ac:dyDescent="0.25">
      <c r="A117" s="14"/>
      <c r="B117" s="14"/>
      <c r="C117" s="14"/>
      <c r="D117" s="14"/>
      <c r="E117" s="15"/>
      <c r="F117" s="15"/>
      <c r="G117" s="15">
        <f t="shared" si="1"/>
        <v>-500000</v>
      </c>
      <c r="H117" s="14"/>
      <c r="I117" s="14"/>
    </row>
    <row r="118" spans="1:9" x14ac:dyDescent="0.25">
      <c r="A118" s="14"/>
      <c r="B118" s="14"/>
      <c r="C118" s="14"/>
      <c r="D118" s="14"/>
      <c r="E118" s="15"/>
      <c r="F118" s="15"/>
      <c r="G118" s="15">
        <f t="shared" si="1"/>
        <v>-500000</v>
      </c>
      <c r="H118" s="14"/>
      <c r="I118" s="14"/>
    </row>
    <row r="119" spans="1:9" x14ac:dyDescent="0.25">
      <c r="A119" s="14"/>
      <c r="B119" s="14"/>
      <c r="C119" s="14"/>
      <c r="D119" s="14"/>
      <c r="E119" s="15"/>
      <c r="F119" s="15"/>
      <c r="G119" s="15">
        <f t="shared" si="1"/>
        <v>-500000</v>
      </c>
      <c r="H119" s="14"/>
      <c r="I119" s="14"/>
    </row>
    <row r="120" spans="1:9" x14ac:dyDescent="0.25">
      <c r="A120" s="14"/>
      <c r="B120" s="14"/>
      <c r="C120" s="14"/>
      <c r="D120" s="14"/>
      <c r="E120" s="15"/>
      <c r="F120" s="15"/>
      <c r="G120" s="15">
        <f t="shared" si="1"/>
        <v>-500000</v>
      </c>
      <c r="H120" s="14"/>
      <c r="I120" s="14"/>
    </row>
    <row r="121" spans="1:9" x14ac:dyDescent="0.25">
      <c r="A121" s="14"/>
      <c r="B121" s="14"/>
      <c r="C121" s="14"/>
      <c r="D121" s="14"/>
      <c r="E121" s="15"/>
      <c r="F121" s="15"/>
      <c r="G121" s="15">
        <f t="shared" si="1"/>
        <v>-500000</v>
      </c>
      <c r="H121" s="14"/>
      <c r="I121" s="14"/>
    </row>
    <row r="122" spans="1:9" x14ac:dyDescent="0.25">
      <c r="A122" s="14"/>
      <c r="B122" s="14"/>
      <c r="C122" s="14"/>
      <c r="D122" s="14"/>
      <c r="E122" s="15"/>
      <c r="F122" s="15"/>
      <c r="G122" s="15">
        <f t="shared" si="1"/>
        <v>-500000</v>
      </c>
      <c r="H122" s="14"/>
      <c r="I122" s="14"/>
    </row>
    <row r="123" spans="1:9" x14ac:dyDescent="0.25">
      <c r="A123" s="14"/>
      <c r="B123" s="14"/>
      <c r="C123" s="14"/>
      <c r="D123" s="14"/>
      <c r="E123" s="15"/>
      <c r="F123" s="15"/>
      <c r="G123" s="15">
        <f t="shared" si="1"/>
        <v>-500000</v>
      </c>
      <c r="H123" s="14"/>
      <c r="I123" s="14"/>
    </row>
    <row r="124" spans="1:9" x14ac:dyDescent="0.25">
      <c r="A124" s="14"/>
      <c r="B124" s="14"/>
      <c r="C124" s="14"/>
      <c r="D124" s="14"/>
      <c r="E124" s="15"/>
      <c r="F124" s="15"/>
      <c r="G124" s="15">
        <f t="shared" si="1"/>
        <v>-500000</v>
      </c>
      <c r="H124" s="14"/>
      <c r="I124" s="14"/>
    </row>
    <row r="125" spans="1:9" x14ac:dyDescent="0.25">
      <c r="A125" s="14"/>
      <c r="B125" s="14"/>
      <c r="C125" s="14"/>
      <c r="D125" s="14"/>
      <c r="E125" s="15"/>
      <c r="F125" s="15"/>
      <c r="G125" s="15">
        <f t="shared" si="1"/>
        <v>-500000</v>
      </c>
      <c r="H125" s="14"/>
      <c r="I125" s="14"/>
    </row>
    <row r="126" spans="1:9" x14ac:dyDescent="0.25">
      <c r="A126" s="14"/>
      <c r="B126" s="14"/>
      <c r="C126" s="14"/>
      <c r="D126" s="14"/>
      <c r="E126" s="15"/>
      <c r="F126" s="15"/>
      <c r="G126" s="15">
        <f t="shared" si="1"/>
        <v>-500000</v>
      </c>
      <c r="H126" s="14"/>
      <c r="I126" s="14"/>
    </row>
    <row r="127" spans="1:9" x14ac:dyDescent="0.25">
      <c r="A127" s="14"/>
      <c r="B127" s="14"/>
      <c r="C127" s="14"/>
      <c r="D127" s="14"/>
      <c r="E127" s="15"/>
      <c r="F127" s="15"/>
      <c r="G127" s="15">
        <f t="shared" si="1"/>
        <v>-500000</v>
      </c>
      <c r="H127" s="14"/>
      <c r="I127" s="14"/>
    </row>
    <row r="128" spans="1:9" x14ac:dyDescent="0.25">
      <c r="A128" s="14"/>
      <c r="B128" s="14"/>
      <c r="C128" s="14"/>
      <c r="D128" s="14"/>
      <c r="E128" s="15"/>
      <c r="F128" s="15"/>
      <c r="G128" s="15">
        <f t="shared" si="1"/>
        <v>-500000</v>
      </c>
      <c r="H128" s="14"/>
      <c r="I128" s="14"/>
    </row>
    <row r="129" spans="1:9" x14ac:dyDescent="0.25">
      <c r="A129" s="14"/>
      <c r="B129" s="14"/>
      <c r="C129" s="14"/>
      <c r="D129" s="14"/>
      <c r="E129" s="15"/>
      <c r="F129" s="15"/>
      <c r="G129" s="15">
        <f t="shared" si="1"/>
        <v>-500000</v>
      </c>
      <c r="H129" s="14"/>
      <c r="I129" s="14"/>
    </row>
    <row r="130" spans="1:9" x14ac:dyDescent="0.25">
      <c r="A130" s="14"/>
      <c r="B130" s="14"/>
      <c r="C130" s="14"/>
      <c r="D130" s="14"/>
      <c r="E130" s="15"/>
      <c r="F130" s="15"/>
      <c r="G130" s="15">
        <f t="shared" si="1"/>
        <v>-500000</v>
      </c>
      <c r="H130" s="14"/>
      <c r="I130" s="14"/>
    </row>
    <row r="131" spans="1:9" x14ac:dyDescent="0.25">
      <c r="A131" s="14"/>
      <c r="B131" s="14"/>
      <c r="C131" s="14"/>
      <c r="D131" s="14"/>
      <c r="E131" s="15"/>
      <c r="F131" s="15"/>
      <c r="G131" s="15">
        <f t="shared" si="1"/>
        <v>-500000</v>
      </c>
      <c r="H131" s="14"/>
      <c r="I131" s="14"/>
    </row>
    <row r="132" spans="1:9" x14ac:dyDescent="0.25">
      <c r="A132" s="14"/>
      <c r="B132" s="14"/>
      <c r="C132" s="14"/>
      <c r="D132" s="14"/>
      <c r="E132" s="15"/>
      <c r="F132" s="15"/>
      <c r="G132" s="15">
        <f t="shared" si="1"/>
        <v>-500000</v>
      </c>
      <c r="H132" s="14"/>
      <c r="I132" s="14"/>
    </row>
    <row r="133" spans="1:9" x14ac:dyDescent="0.25">
      <c r="A133" s="14"/>
      <c r="B133" s="14"/>
      <c r="C133" s="14"/>
      <c r="D133" s="14"/>
      <c r="E133" s="15"/>
      <c r="F133" s="15"/>
      <c r="G133" s="15">
        <f t="shared" ref="G133:G196" si="2">G132+E133-F133</f>
        <v>-500000</v>
      </c>
      <c r="H133" s="14"/>
      <c r="I133" s="14"/>
    </row>
    <row r="134" spans="1:9" x14ac:dyDescent="0.25">
      <c r="A134" s="14"/>
      <c r="B134" s="14"/>
      <c r="C134" s="14"/>
      <c r="D134" s="14"/>
      <c r="E134" s="15"/>
      <c r="F134" s="15"/>
      <c r="G134" s="15">
        <f t="shared" si="2"/>
        <v>-500000</v>
      </c>
      <c r="H134" s="14"/>
      <c r="I134" s="14"/>
    </row>
    <row r="135" spans="1:9" x14ac:dyDescent="0.25">
      <c r="A135" s="14"/>
      <c r="B135" s="14"/>
      <c r="C135" s="14"/>
      <c r="D135" s="14"/>
      <c r="E135" s="15"/>
      <c r="F135" s="15"/>
      <c r="G135" s="15">
        <f t="shared" si="2"/>
        <v>-500000</v>
      </c>
      <c r="H135" s="14"/>
      <c r="I135" s="14"/>
    </row>
    <row r="136" spans="1:9" x14ac:dyDescent="0.25">
      <c r="A136" s="14"/>
      <c r="B136" s="14"/>
      <c r="C136" s="14"/>
      <c r="D136" s="14"/>
      <c r="E136" s="15"/>
      <c r="F136" s="15"/>
      <c r="G136" s="15">
        <f t="shared" si="2"/>
        <v>-500000</v>
      </c>
      <c r="H136" s="14"/>
      <c r="I136" s="14"/>
    </row>
    <row r="137" spans="1:9" x14ac:dyDescent="0.25">
      <c r="A137" s="14"/>
      <c r="B137" s="14"/>
      <c r="C137" s="14"/>
      <c r="D137" s="14"/>
      <c r="E137" s="15"/>
      <c r="F137" s="15"/>
      <c r="G137" s="15">
        <f t="shared" si="2"/>
        <v>-500000</v>
      </c>
      <c r="H137" s="14"/>
      <c r="I137" s="14"/>
    </row>
    <row r="138" spans="1:9" x14ac:dyDescent="0.25">
      <c r="A138" s="14"/>
      <c r="B138" s="14"/>
      <c r="C138" s="14"/>
      <c r="D138" s="14"/>
      <c r="E138" s="15"/>
      <c r="F138" s="15"/>
      <c r="G138" s="15">
        <f t="shared" si="2"/>
        <v>-500000</v>
      </c>
      <c r="H138" s="14"/>
      <c r="I138" s="14"/>
    </row>
    <row r="139" spans="1:9" x14ac:dyDescent="0.25">
      <c r="A139" s="14"/>
      <c r="B139" s="14"/>
      <c r="C139" s="14"/>
      <c r="D139" s="14"/>
      <c r="E139" s="15"/>
      <c r="F139" s="15"/>
      <c r="G139" s="15">
        <f t="shared" si="2"/>
        <v>-500000</v>
      </c>
      <c r="H139" s="14"/>
      <c r="I139" s="14"/>
    </row>
    <row r="140" spans="1:9" x14ac:dyDescent="0.25">
      <c r="A140" s="14"/>
      <c r="B140" s="14"/>
      <c r="C140" s="14"/>
      <c r="D140" s="14"/>
      <c r="E140" s="15"/>
      <c r="F140" s="15"/>
      <c r="G140" s="15">
        <f t="shared" si="2"/>
        <v>-500000</v>
      </c>
      <c r="H140" s="14"/>
      <c r="I140" s="14"/>
    </row>
    <row r="141" spans="1:9" x14ac:dyDescent="0.25">
      <c r="A141" s="14"/>
      <c r="B141" s="14"/>
      <c r="C141" s="14"/>
      <c r="D141" s="14"/>
      <c r="E141" s="15"/>
      <c r="F141" s="15"/>
      <c r="G141" s="15">
        <f t="shared" si="2"/>
        <v>-500000</v>
      </c>
      <c r="H141" s="14"/>
      <c r="I141" s="14"/>
    </row>
    <row r="142" spans="1:9" x14ac:dyDescent="0.25">
      <c r="A142" s="14"/>
      <c r="B142" s="14"/>
      <c r="C142" s="14"/>
      <c r="D142" s="14"/>
      <c r="E142" s="15"/>
      <c r="F142" s="15"/>
      <c r="G142" s="15">
        <f t="shared" si="2"/>
        <v>-500000</v>
      </c>
      <c r="H142" s="14"/>
      <c r="I142" s="14"/>
    </row>
    <row r="143" spans="1:9" x14ac:dyDescent="0.25">
      <c r="A143" s="14"/>
      <c r="B143" s="14"/>
      <c r="C143" s="14"/>
      <c r="D143" s="14"/>
      <c r="E143" s="15"/>
      <c r="F143" s="15"/>
      <c r="G143" s="15">
        <f t="shared" si="2"/>
        <v>-500000</v>
      </c>
      <c r="H143" s="14"/>
      <c r="I143" s="14"/>
    </row>
    <row r="144" spans="1:9" x14ac:dyDescent="0.25">
      <c r="A144" s="14"/>
      <c r="B144" s="14"/>
      <c r="C144" s="14"/>
      <c r="D144" s="14"/>
      <c r="E144" s="15"/>
      <c r="F144" s="15"/>
      <c r="G144" s="15">
        <f t="shared" si="2"/>
        <v>-500000</v>
      </c>
      <c r="H144" s="14"/>
      <c r="I144" s="14"/>
    </row>
    <row r="145" spans="1:9" x14ac:dyDescent="0.25">
      <c r="A145" s="14"/>
      <c r="B145" s="14"/>
      <c r="C145" s="14"/>
      <c r="D145" s="14"/>
      <c r="E145" s="15"/>
      <c r="F145" s="15"/>
      <c r="G145" s="15">
        <f t="shared" si="2"/>
        <v>-500000</v>
      </c>
      <c r="H145" s="14"/>
      <c r="I145" s="14"/>
    </row>
    <row r="146" spans="1:9" x14ac:dyDescent="0.25">
      <c r="A146" s="14"/>
      <c r="B146" s="14"/>
      <c r="C146" s="14"/>
      <c r="D146" s="14"/>
      <c r="E146" s="15"/>
      <c r="F146" s="15"/>
      <c r="G146" s="15">
        <f t="shared" si="2"/>
        <v>-500000</v>
      </c>
      <c r="H146" s="14"/>
      <c r="I146" s="14"/>
    </row>
    <row r="147" spans="1:9" x14ac:dyDescent="0.25">
      <c r="A147" s="14"/>
      <c r="B147" s="14"/>
      <c r="C147" s="14"/>
      <c r="D147" s="14"/>
      <c r="E147" s="15"/>
      <c r="F147" s="15"/>
      <c r="G147" s="15">
        <f t="shared" si="2"/>
        <v>-500000</v>
      </c>
      <c r="H147" s="14"/>
      <c r="I147" s="14"/>
    </row>
    <row r="148" spans="1:9" x14ac:dyDescent="0.25">
      <c r="A148" s="14"/>
      <c r="B148" s="14"/>
      <c r="C148" s="14"/>
      <c r="D148" s="14"/>
      <c r="E148" s="15"/>
      <c r="F148" s="15"/>
      <c r="G148" s="15">
        <f t="shared" si="2"/>
        <v>-500000</v>
      </c>
      <c r="H148" s="14"/>
      <c r="I148" s="14"/>
    </row>
    <row r="149" spans="1:9" x14ac:dyDescent="0.25">
      <c r="A149" s="14"/>
      <c r="B149" s="14"/>
      <c r="C149" s="14"/>
      <c r="D149" s="14"/>
      <c r="E149" s="15"/>
      <c r="F149" s="15"/>
      <c r="G149" s="15">
        <f t="shared" si="2"/>
        <v>-500000</v>
      </c>
      <c r="H149" s="14"/>
      <c r="I149" s="14"/>
    </row>
    <row r="150" spans="1:9" x14ac:dyDescent="0.25">
      <c r="A150" s="14"/>
      <c r="B150" s="14"/>
      <c r="C150" s="14"/>
      <c r="D150" s="14"/>
      <c r="E150" s="15"/>
      <c r="F150" s="15"/>
      <c r="G150" s="15">
        <f t="shared" si="2"/>
        <v>-500000</v>
      </c>
      <c r="H150" s="14"/>
      <c r="I150" s="14"/>
    </row>
    <row r="151" spans="1:9" x14ac:dyDescent="0.25">
      <c r="E151" s="6"/>
      <c r="F151" s="6"/>
      <c r="G151" s="6">
        <f t="shared" si="2"/>
        <v>-500000</v>
      </c>
    </row>
    <row r="152" spans="1:9" x14ac:dyDescent="0.25">
      <c r="E152" s="6"/>
      <c r="F152" s="6"/>
      <c r="G152" s="6">
        <f t="shared" si="2"/>
        <v>-500000</v>
      </c>
    </row>
    <row r="153" spans="1:9" x14ac:dyDescent="0.25">
      <c r="E153" s="6"/>
      <c r="F153" s="6"/>
      <c r="G153" s="6">
        <f t="shared" si="2"/>
        <v>-500000</v>
      </c>
    </row>
    <row r="154" spans="1:9" x14ac:dyDescent="0.25">
      <c r="E154" s="6"/>
      <c r="F154" s="6"/>
      <c r="G154" s="6">
        <f t="shared" si="2"/>
        <v>-500000</v>
      </c>
    </row>
    <row r="155" spans="1:9" x14ac:dyDescent="0.25">
      <c r="E155" s="6"/>
      <c r="F155" s="6"/>
      <c r="G155" s="6">
        <f t="shared" si="2"/>
        <v>-500000</v>
      </c>
    </row>
    <row r="156" spans="1:9" x14ac:dyDescent="0.25">
      <c r="E156" s="6"/>
      <c r="F156" s="6"/>
      <c r="G156" s="6">
        <f t="shared" si="2"/>
        <v>-500000</v>
      </c>
    </row>
    <row r="157" spans="1:9" x14ac:dyDescent="0.25">
      <c r="E157" s="6"/>
      <c r="F157" s="6"/>
      <c r="G157" s="6">
        <f t="shared" si="2"/>
        <v>-500000</v>
      </c>
    </row>
    <row r="158" spans="1:9" x14ac:dyDescent="0.25">
      <c r="E158" s="6"/>
      <c r="F158" s="6"/>
      <c r="G158" s="6">
        <f t="shared" si="2"/>
        <v>-500000</v>
      </c>
    </row>
    <row r="159" spans="1:9" x14ac:dyDescent="0.25">
      <c r="E159" s="6"/>
      <c r="F159" s="6"/>
      <c r="G159" s="6">
        <f t="shared" si="2"/>
        <v>-500000</v>
      </c>
    </row>
    <row r="160" spans="1:9" x14ac:dyDescent="0.25">
      <c r="E160" s="6"/>
      <c r="F160" s="6"/>
      <c r="G160" s="6">
        <f t="shared" si="2"/>
        <v>-500000</v>
      </c>
    </row>
    <row r="161" spans="5:7" x14ac:dyDescent="0.25">
      <c r="E161" s="6"/>
      <c r="F161" s="6"/>
      <c r="G161" s="6">
        <f t="shared" si="2"/>
        <v>-500000</v>
      </c>
    </row>
    <row r="162" spans="5:7" x14ac:dyDescent="0.25">
      <c r="E162" s="6"/>
      <c r="F162" s="6"/>
      <c r="G162" s="6">
        <f t="shared" si="2"/>
        <v>-500000</v>
      </c>
    </row>
    <row r="163" spans="5:7" x14ac:dyDescent="0.25">
      <c r="E163" s="6"/>
      <c r="F163" s="6"/>
      <c r="G163" s="6">
        <f t="shared" si="2"/>
        <v>-500000</v>
      </c>
    </row>
    <row r="164" spans="5:7" x14ac:dyDescent="0.25">
      <c r="E164" s="6"/>
      <c r="F164" s="6"/>
      <c r="G164" s="6">
        <f t="shared" si="2"/>
        <v>-500000</v>
      </c>
    </row>
    <row r="165" spans="5:7" x14ac:dyDescent="0.25">
      <c r="E165" s="6"/>
      <c r="F165" s="6"/>
      <c r="G165" s="6">
        <f t="shared" si="2"/>
        <v>-500000</v>
      </c>
    </row>
    <row r="166" spans="5:7" x14ac:dyDescent="0.25">
      <c r="E166" s="6"/>
      <c r="F166" s="6"/>
      <c r="G166" s="6">
        <f t="shared" si="2"/>
        <v>-500000</v>
      </c>
    </row>
    <row r="167" spans="5:7" x14ac:dyDescent="0.25">
      <c r="E167" s="6"/>
      <c r="F167" s="6"/>
      <c r="G167" s="6">
        <f t="shared" si="2"/>
        <v>-500000</v>
      </c>
    </row>
    <row r="168" spans="5:7" x14ac:dyDescent="0.25">
      <c r="E168" s="6"/>
      <c r="F168" s="6"/>
      <c r="G168" s="6">
        <f t="shared" si="2"/>
        <v>-500000</v>
      </c>
    </row>
    <row r="169" spans="5:7" x14ac:dyDescent="0.25">
      <c r="E169" s="6"/>
      <c r="F169" s="6"/>
      <c r="G169" s="6">
        <f t="shared" si="2"/>
        <v>-500000</v>
      </c>
    </row>
    <row r="170" spans="5:7" x14ac:dyDescent="0.25">
      <c r="E170" s="6"/>
      <c r="F170" s="6"/>
      <c r="G170" s="6">
        <f t="shared" si="2"/>
        <v>-500000</v>
      </c>
    </row>
    <row r="171" spans="5:7" x14ac:dyDescent="0.25">
      <c r="E171" s="6"/>
      <c r="F171" s="6"/>
      <c r="G171" s="6">
        <f t="shared" si="2"/>
        <v>-500000</v>
      </c>
    </row>
    <row r="172" spans="5:7" x14ac:dyDescent="0.25">
      <c r="E172" s="6"/>
      <c r="F172" s="6"/>
      <c r="G172" s="6">
        <f t="shared" si="2"/>
        <v>-500000</v>
      </c>
    </row>
    <row r="173" spans="5:7" x14ac:dyDescent="0.25">
      <c r="E173" s="6"/>
      <c r="F173" s="6"/>
      <c r="G173" s="6">
        <f t="shared" si="2"/>
        <v>-500000</v>
      </c>
    </row>
    <row r="174" spans="5:7" x14ac:dyDescent="0.25">
      <c r="E174" s="6"/>
      <c r="F174" s="6"/>
      <c r="G174" s="6">
        <f t="shared" si="2"/>
        <v>-500000</v>
      </c>
    </row>
    <row r="175" spans="5:7" x14ac:dyDescent="0.25">
      <c r="E175" s="6"/>
      <c r="F175" s="6"/>
      <c r="G175" s="6">
        <f t="shared" si="2"/>
        <v>-500000</v>
      </c>
    </row>
    <row r="176" spans="5:7" x14ac:dyDescent="0.25">
      <c r="E176" s="6"/>
      <c r="F176" s="6"/>
      <c r="G176" s="6">
        <f t="shared" si="2"/>
        <v>-500000</v>
      </c>
    </row>
    <row r="177" spans="5:7" x14ac:dyDescent="0.25">
      <c r="E177" s="6"/>
      <c r="F177" s="6"/>
      <c r="G177" s="6">
        <f t="shared" si="2"/>
        <v>-500000</v>
      </c>
    </row>
    <row r="178" spans="5:7" x14ac:dyDescent="0.25">
      <c r="E178" s="6"/>
      <c r="F178" s="6"/>
      <c r="G178" s="6">
        <f t="shared" si="2"/>
        <v>-500000</v>
      </c>
    </row>
    <row r="179" spans="5:7" x14ac:dyDescent="0.25">
      <c r="E179" s="6"/>
      <c r="F179" s="6"/>
      <c r="G179" s="6">
        <f t="shared" si="2"/>
        <v>-500000</v>
      </c>
    </row>
    <row r="180" spans="5:7" x14ac:dyDescent="0.25">
      <c r="E180" s="6"/>
      <c r="F180" s="6"/>
      <c r="G180" s="6">
        <f t="shared" si="2"/>
        <v>-500000</v>
      </c>
    </row>
    <row r="181" spans="5:7" x14ac:dyDescent="0.25">
      <c r="E181" s="6"/>
      <c r="F181" s="6"/>
      <c r="G181" s="6">
        <f t="shared" si="2"/>
        <v>-500000</v>
      </c>
    </row>
    <row r="182" spans="5:7" x14ac:dyDescent="0.25">
      <c r="E182" s="6"/>
      <c r="F182" s="6"/>
      <c r="G182" s="6">
        <f t="shared" si="2"/>
        <v>-500000</v>
      </c>
    </row>
    <row r="183" spans="5:7" x14ac:dyDescent="0.25">
      <c r="E183" s="6"/>
      <c r="F183" s="6"/>
      <c r="G183" s="6">
        <f t="shared" si="2"/>
        <v>-500000</v>
      </c>
    </row>
    <row r="184" spans="5:7" x14ac:dyDescent="0.25">
      <c r="E184" s="6"/>
      <c r="F184" s="6"/>
      <c r="G184" s="6">
        <f t="shared" si="2"/>
        <v>-500000</v>
      </c>
    </row>
    <row r="185" spans="5:7" x14ac:dyDescent="0.25">
      <c r="E185" s="6"/>
      <c r="F185" s="6"/>
      <c r="G185" s="6">
        <f t="shared" si="2"/>
        <v>-500000</v>
      </c>
    </row>
    <row r="186" spans="5:7" x14ac:dyDescent="0.25">
      <c r="E186" s="6"/>
      <c r="F186" s="6"/>
      <c r="G186" s="6">
        <f t="shared" si="2"/>
        <v>-500000</v>
      </c>
    </row>
    <row r="187" spans="5:7" x14ac:dyDescent="0.25">
      <c r="E187" s="6"/>
      <c r="F187" s="6"/>
      <c r="G187" s="6">
        <f t="shared" si="2"/>
        <v>-500000</v>
      </c>
    </row>
    <row r="188" spans="5:7" x14ac:dyDescent="0.25">
      <c r="E188" s="6"/>
      <c r="F188" s="6"/>
      <c r="G188" s="6">
        <f t="shared" si="2"/>
        <v>-500000</v>
      </c>
    </row>
    <row r="189" spans="5:7" x14ac:dyDescent="0.25">
      <c r="E189" s="6"/>
      <c r="F189" s="6"/>
      <c r="G189" s="6">
        <f t="shared" si="2"/>
        <v>-500000</v>
      </c>
    </row>
    <row r="190" spans="5:7" x14ac:dyDescent="0.25">
      <c r="E190" s="6"/>
      <c r="F190" s="6"/>
      <c r="G190" s="6">
        <f t="shared" si="2"/>
        <v>-500000</v>
      </c>
    </row>
    <row r="191" spans="5:7" x14ac:dyDescent="0.25">
      <c r="E191" s="6"/>
      <c r="F191" s="6"/>
      <c r="G191" s="6">
        <f t="shared" si="2"/>
        <v>-500000</v>
      </c>
    </row>
    <row r="192" spans="5:7" x14ac:dyDescent="0.25">
      <c r="E192" s="6"/>
      <c r="F192" s="6"/>
      <c r="G192" s="6">
        <f t="shared" si="2"/>
        <v>-500000</v>
      </c>
    </row>
    <row r="193" spans="5:7" x14ac:dyDescent="0.25">
      <c r="E193" s="6"/>
      <c r="F193" s="6"/>
      <c r="G193" s="6">
        <f t="shared" si="2"/>
        <v>-500000</v>
      </c>
    </row>
    <row r="194" spans="5:7" x14ac:dyDescent="0.25">
      <c r="E194" s="6"/>
      <c r="F194" s="6"/>
      <c r="G194" s="6">
        <f t="shared" si="2"/>
        <v>-500000</v>
      </c>
    </row>
    <row r="195" spans="5:7" x14ac:dyDescent="0.25">
      <c r="E195" s="6"/>
      <c r="F195" s="6"/>
      <c r="G195" s="6">
        <f t="shared" si="2"/>
        <v>-500000</v>
      </c>
    </row>
    <row r="196" spans="5:7" x14ac:dyDescent="0.25">
      <c r="E196" s="6"/>
      <c r="F196" s="6"/>
      <c r="G196" s="6">
        <f t="shared" si="2"/>
        <v>-500000</v>
      </c>
    </row>
    <row r="197" spans="5:7" x14ac:dyDescent="0.25">
      <c r="E197" s="6"/>
      <c r="F197" s="6"/>
      <c r="G197" s="6">
        <f t="shared" ref="G197:G260" si="3">G196+E197-F197</f>
        <v>-500000</v>
      </c>
    </row>
    <row r="198" spans="5:7" x14ac:dyDescent="0.25">
      <c r="E198" s="6"/>
      <c r="F198" s="6"/>
      <c r="G198" s="6">
        <f t="shared" si="3"/>
        <v>-500000</v>
      </c>
    </row>
    <row r="199" spans="5:7" x14ac:dyDescent="0.25">
      <c r="E199" s="6"/>
      <c r="F199" s="6"/>
      <c r="G199" s="6">
        <f t="shared" si="3"/>
        <v>-500000</v>
      </c>
    </row>
    <row r="200" spans="5:7" x14ac:dyDescent="0.25">
      <c r="E200" s="6"/>
      <c r="F200" s="6"/>
      <c r="G200" s="6">
        <f t="shared" si="3"/>
        <v>-500000</v>
      </c>
    </row>
    <row r="201" spans="5:7" x14ac:dyDescent="0.25">
      <c r="E201" s="6"/>
      <c r="F201" s="6"/>
      <c r="G201" s="6">
        <f t="shared" si="3"/>
        <v>-500000</v>
      </c>
    </row>
    <row r="202" spans="5:7" x14ac:dyDescent="0.25">
      <c r="E202" s="6"/>
      <c r="F202" s="6"/>
      <c r="G202" s="6">
        <f t="shared" si="3"/>
        <v>-500000</v>
      </c>
    </row>
    <row r="203" spans="5:7" x14ac:dyDescent="0.25">
      <c r="E203" s="6"/>
      <c r="F203" s="6"/>
      <c r="G203" s="6">
        <f t="shared" si="3"/>
        <v>-500000</v>
      </c>
    </row>
    <row r="204" spans="5:7" x14ac:dyDescent="0.25">
      <c r="E204" s="6"/>
      <c r="F204" s="6"/>
      <c r="G204" s="6">
        <f t="shared" si="3"/>
        <v>-500000</v>
      </c>
    </row>
    <row r="205" spans="5:7" x14ac:dyDescent="0.25">
      <c r="E205" s="6"/>
      <c r="F205" s="6"/>
      <c r="G205" s="6">
        <f t="shared" si="3"/>
        <v>-500000</v>
      </c>
    </row>
    <row r="206" spans="5:7" x14ac:dyDescent="0.25">
      <c r="E206" s="6"/>
      <c r="F206" s="6"/>
      <c r="G206" s="6">
        <f t="shared" si="3"/>
        <v>-500000</v>
      </c>
    </row>
    <row r="207" spans="5:7" x14ac:dyDescent="0.25">
      <c r="E207" s="6"/>
      <c r="F207" s="6"/>
      <c r="G207" s="6">
        <f t="shared" si="3"/>
        <v>-500000</v>
      </c>
    </row>
    <row r="208" spans="5:7" x14ac:dyDescent="0.25">
      <c r="E208" s="6"/>
      <c r="F208" s="6"/>
      <c r="G208" s="6">
        <f t="shared" si="3"/>
        <v>-500000</v>
      </c>
    </row>
    <row r="209" spans="5:7" x14ac:dyDescent="0.25">
      <c r="E209" s="6"/>
      <c r="F209" s="6"/>
      <c r="G209" s="6">
        <f t="shared" si="3"/>
        <v>-500000</v>
      </c>
    </row>
    <row r="210" spans="5:7" x14ac:dyDescent="0.25">
      <c r="E210" s="6"/>
      <c r="F210" s="6"/>
      <c r="G210" s="6">
        <f t="shared" si="3"/>
        <v>-500000</v>
      </c>
    </row>
    <row r="211" spans="5:7" x14ac:dyDescent="0.25">
      <c r="E211" s="6"/>
      <c r="F211" s="6"/>
      <c r="G211" s="6">
        <f t="shared" si="3"/>
        <v>-500000</v>
      </c>
    </row>
    <row r="212" spans="5:7" x14ac:dyDescent="0.25">
      <c r="E212" s="6"/>
      <c r="F212" s="6"/>
      <c r="G212" s="6">
        <f t="shared" si="3"/>
        <v>-500000</v>
      </c>
    </row>
    <row r="213" spans="5:7" x14ac:dyDescent="0.25">
      <c r="E213" s="6"/>
      <c r="F213" s="6"/>
      <c r="G213" s="6">
        <f t="shared" si="3"/>
        <v>-500000</v>
      </c>
    </row>
    <row r="214" spans="5:7" x14ac:dyDescent="0.25">
      <c r="E214" s="6"/>
      <c r="F214" s="6"/>
      <c r="G214" s="6">
        <f t="shared" si="3"/>
        <v>-500000</v>
      </c>
    </row>
    <row r="215" spans="5:7" x14ac:dyDescent="0.25">
      <c r="E215" s="6"/>
      <c r="F215" s="6"/>
      <c r="G215" s="6">
        <f t="shared" si="3"/>
        <v>-500000</v>
      </c>
    </row>
    <row r="216" spans="5:7" x14ac:dyDescent="0.25">
      <c r="E216" s="6"/>
      <c r="F216" s="6"/>
      <c r="G216" s="6">
        <f t="shared" si="3"/>
        <v>-500000</v>
      </c>
    </row>
    <row r="217" spans="5:7" x14ac:dyDescent="0.25">
      <c r="E217" s="6"/>
      <c r="F217" s="6"/>
      <c r="G217" s="6">
        <f t="shared" si="3"/>
        <v>-500000</v>
      </c>
    </row>
    <row r="218" spans="5:7" x14ac:dyDescent="0.25">
      <c r="E218" s="6"/>
      <c r="F218" s="6"/>
      <c r="G218" s="6">
        <f t="shared" si="3"/>
        <v>-500000</v>
      </c>
    </row>
    <row r="219" spans="5:7" x14ac:dyDescent="0.25">
      <c r="E219" s="6"/>
      <c r="F219" s="6"/>
      <c r="G219" s="6">
        <f t="shared" si="3"/>
        <v>-500000</v>
      </c>
    </row>
    <row r="220" spans="5:7" x14ac:dyDescent="0.25">
      <c r="E220" s="6"/>
      <c r="F220" s="6"/>
      <c r="G220" s="6">
        <f t="shared" si="3"/>
        <v>-500000</v>
      </c>
    </row>
    <row r="221" spans="5:7" x14ac:dyDescent="0.25">
      <c r="E221" s="6"/>
      <c r="F221" s="6"/>
      <c r="G221" s="6">
        <f t="shared" si="3"/>
        <v>-500000</v>
      </c>
    </row>
    <row r="222" spans="5:7" x14ac:dyDescent="0.25">
      <c r="E222" s="6"/>
      <c r="F222" s="6"/>
      <c r="G222" s="6">
        <f t="shared" si="3"/>
        <v>-500000</v>
      </c>
    </row>
    <row r="223" spans="5:7" x14ac:dyDescent="0.25">
      <c r="E223" s="6"/>
      <c r="F223" s="6"/>
      <c r="G223" s="6">
        <f t="shared" si="3"/>
        <v>-500000</v>
      </c>
    </row>
    <row r="224" spans="5:7" x14ac:dyDescent="0.25">
      <c r="E224" s="6"/>
      <c r="F224" s="6"/>
      <c r="G224" s="6">
        <f t="shared" si="3"/>
        <v>-500000</v>
      </c>
    </row>
    <row r="225" spans="5:7" x14ac:dyDescent="0.25">
      <c r="E225" s="6"/>
      <c r="F225" s="6"/>
      <c r="G225" s="6">
        <f t="shared" si="3"/>
        <v>-500000</v>
      </c>
    </row>
    <row r="226" spans="5:7" x14ac:dyDescent="0.25">
      <c r="E226" s="6"/>
      <c r="F226" s="6"/>
      <c r="G226" s="6">
        <f t="shared" si="3"/>
        <v>-500000</v>
      </c>
    </row>
    <row r="227" spans="5:7" x14ac:dyDescent="0.25">
      <c r="E227" s="6"/>
      <c r="F227" s="6"/>
      <c r="G227" s="6">
        <f t="shared" si="3"/>
        <v>-500000</v>
      </c>
    </row>
    <row r="228" spans="5:7" x14ac:dyDescent="0.25">
      <c r="E228" s="6"/>
      <c r="F228" s="6"/>
      <c r="G228" s="6">
        <f t="shared" si="3"/>
        <v>-500000</v>
      </c>
    </row>
    <row r="229" spans="5:7" x14ac:dyDescent="0.25">
      <c r="E229" s="6"/>
      <c r="F229" s="6"/>
      <c r="G229" s="6">
        <f t="shared" si="3"/>
        <v>-500000</v>
      </c>
    </row>
    <row r="230" spans="5:7" x14ac:dyDescent="0.25">
      <c r="E230" s="6"/>
      <c r="F230" s="6"/>
      <c r="G230" s="6">
        <f t="shared" si="3"/>
        <v>-500000</v>
      </c>
    </row>
    <row r="231" spans="5:7" x14ac:dyDescent="0.25">
      <c r="E231" s="6"/>
      <c r="F231" s="6"/>
      <c r="G231" s="6">
        <f t="shared" si="3"/>
        <v>-500000</v>
      </c>
    </row>
    <row r="232" spans="5:7" x14ac:dyDescent="0.25">
      <c r="E232" s="6"/>
      <c r="F232" s="6"/>
      <c r="G232" s="6">
        <f t="shared" si="3"/>
        <v>-500000</v>
      </c>
    </row>
    <row r="233" spans="5:7" x14ac:dyDescent="0.25">
      <c r="E233" s="6"/>
      <c r="F233" s="6"/>
      <c r="G233" s="6">
        <f t="shared" si="3"/>
        <v>-500000</v>
      </c>
    </row>
    <row r="234" spans="5:7" x14ac:dyDescent="0.25">
      <c r="E234" s="6"/>
      <c r="F234" s="6"/>
      <c r="G234" s="6">
        <f t="shared" si="3"/>
        <v>-500000</v>
      </c>
    </row>
    <row r="235" spans="5:7" x14ac:dyDescent="0.25">
      <c r="E235" s="6"/>
      <c r="F235" s="6"/>
      <c r="G235" s="6">
        <f t="shared" si="3"/>
        <v>-500000</v>
      </c>
    </row>
    <row r="236" spans="5:7" x14ac:dyDescent="0.25">
      <c r="E236" s="6"/>
      <c r="F236" s="6"/>
      <c r="G236" s="6">
        <f t="shared" si="3"/>
        <v>-500000</v>
      </c>
    </row>
    <row r="237" spans="5:7" x14ac:dyDescent="0.25">
      <c r="E237" s="6"/>
      <c r="F237" s="6"/>
      <c r="G237" s="6">
        <f t="shared" si="3"/>
        <v>-500000</v>
      </c>
    </row>
    <row r="238" spans="5:7" x14ac:dyDescent="0.25">
      <c r="E238" s="6"/>
      <c r="F238" s="6"/>
      <c r="G238" s="6">
        <f t="shared" si="3"/>
        <v>-500000</v>
      </c>
    </row>
    <row r="239" spans="5:7" x14ac:dyDescent="0.25">
      <c r="E239" s="6"/>
      <c r="F239" s="6"/>
      <c r="G239" s="6">
        <f t="shared" si="3"/>
        <v>-500000</v>
      </c>
    </row>
    <row r="240" spans="5:7" x14ac:dyDescent="0.25">
      <c r="E240" s="6"/>
      <c r="F240" s="6"/>
      <c r="G240" s="6">
        <f t="shared" si="3"/>
        <v>-500000</v>
      </c>
    </row>
    <row r="241" spans="5:7" x14ac:dyDescent="0.25">
      <c r="E241" s="6"/>
      <c r="F241" s="6"/>
      <c r="G241" s="6">
        <f t="shared" si="3"/>
        <v>-500000</v>
      </c>
    </row>
    <row r="242" spans="5:7" x14ac:dyDescent="0.25">
      <c r="E242" s="6"/>
      <c r="F242" s="6"/>
      <c r="G242" s="6">
        <f t="shared" si="3"/>
        <v>-500000</v>
      </c>
    </row>
    <row r="243" spans="5:7" x14ac:dyDescent="0.25">
      <c r="E243" s="6"/>
      <c r="F243" s="6"/>
      <c r="G243" s="6">
        <f t="shared" si="3"/>
        <v>-500000</v>
      </c>
    </row>
    <row r="244" spans="5:7" x14ac:dyDescent="0.25">
      <c r="E244" s="6"/>
      <c r="F244" s="6"/>
      <c r="G244" s="6">
        <f t="shared" si="3"/>
        <v>-500000</v>
      </c>
    </row>
    <row r="245" spans="5:7" x14ac:dyDescent="0.25">
      <c r="E245" s="6"/>
      <c r="F245" s="6"/>
      <c r="G245" s="6">
        <f t="shared" si="3"/>
        <v>-500000</v>
      </c>
    </row>
    <row r="246" spans="5:7" x14ac:dyDescent="0.25">
      <c r="E246" s="6"/>
      <c r="F246" s="6"/>
      <c r="G246" s="6">
        <f t="shared" si="3"/>
        <v>-500000</v>
      </c>
    </row>
    <row r="247" spans="5:7" x14ac:dyDescent="0.25">
      <c r="E247" s="6"/>
      <c r="F247" s="6"/>
      <c r="G247" s="6">
        <f t="shared" si="3"/>
        <v>-500000</v>
      </c>
    </row>
    <row r="248" spans="5:7" x14ac:dyDescent="0.25">
      <c r="E248" s="6"/>
      <c r="F248" s="6"/>
      <c r="G248" s="6">
        <f t="shared" si="3"/>
        <v>-500000</v>
      </c>
    </row>
    <row r="249" spans="5:7" x14ac:dyDescent="0.25">
      <c r="E249" s="6"/>
      <c r="F249" s="6"/>
      <c r="G249" s="6">
        <f t="shared" si="3"/>
        <v>-500000</v>
      </c>
    </row>
    <row r="250" spans="5:7" x14ac:dyDescent="0.25">
      <c r="E250" s="6"/>
      <c r="F250" s="6"/>
      <c r="G250" s="6">
        <f t="shared" si="3"/>
        <v>-500000</v>
      </c>
    </row>
    <row r="251" spans="5:7" x14ac:dyDescent="0.25">
      <c r="E251" s="6"/>
      <c r="F251" s="6"/>
      <c r="G251" s="6">
        <f t="shared" si="3"/>
        <v>-500000</v>
      </c>
    </row>
    <row r="252" spans="5:7" x14ac:dyDescent="0.25">
      <c r="E252" s="6"/>
      <c r="F252" s="6"/>
      <c r="G252" s="6">
        <f t="shared" si="3"/>
        <v>-500000</v>
      </c>
    </row>
    <row r="253" spans="5:7" x14ac:dyDescent="0.25">
      <c r="E253" s="6"/>
      <c r="F253" s="6"/>
      <c r="G253" s="6">
        <f t="shared" si="3"/>
        <v>-500000</v>
      </c>
    </row>
    <row r="254" spans="5:7" x14ac:dyDescent="0.25">
      <c r="E254" s="6"/>
      <c r="F254" s="6"/>
      <c r="G254" s="6">
        <f t="shared" si="3"/>
        <v>-500000</v>
      </c>
    </row>
    <row r="255" spans="5:7" x14ac:dyDescent="0.25">
      <c r="E255" s="6"/>
      <c r="F255" s="6"/>
      <c r="G255" s="6">
        <f t="shared" si="3"/>
        <v>-500000</v>
      </c>
    </row>
    <row r="256" spans="5:7" x14ac:dyDescent="0.25">
      <c r="E256" s="6"/>
      <c r="F256" s="6"/>
      <c r="G256" s="6">
        <f t="shared" si="3"/>
        <v>-500000</v>
      </c>
    </row>
    <row r="257" spans="5:7" x14ac:dyDescent="0.25">
      <c r="E257" s="6"/>
      <c r="F257" s="6"/>
      <c r="G257" s="6">
        <f t="shared" si="3"/>
        <v>-500000</v>
      </c>
    </row>
    <row r="258" spans="5:7" x14ac:dyDescent="0.25">
      <c r="E258" s="6"/>
      <c r="F258" s="6"/>
      <c r="G258" s="6">
        <f t="shared" si="3"/>
        <v>-500000</v>
      </c>
    </row>
    <row r="259" spans="5:7" x14ac:dyDescent="0.25">
      <c r="E259" s="6"/>
      <c r="F259" s="6"/>
      <c r="G259" s="6">
        <f t="shared" si="3"/>
        <v>-500000</v>
      </c>
    </row>
    <row r="260" spans="5:7" x14ac:dyDescent="0.25">
      <c r="E260" s="6"/>
      <c r="F260" s="6"/>
      <c r="G260" s="6">
        <f t="shared" si="3"/>
        <v>-500000</v>
      </c>
    </row>
    <row r="261" spans="5:7" x14ac:dyDescent="0.25">
      <c r="E261" s="6"/>
      <c r="F261" s="6"/>
      <c r="G261" s="6">
        <f t="shared" ref="G261:G324" si="4">G260+E261-F261</f>
        <v>-500000</v>
      </c>
    </row>
    <row r="262" spans="5:7" x14ac:dyDescent="0.25">
      <c r="E262" s="6"/>
      <c r="F262" s="6"/>
      <c r="G262" s="6">
        <f t="shared" si="4"/>
        <v>-500000</v>
      </c>
    </row>
    <row r="263" spans="5:7" x14ac:dyDescent="0.25">
      <c r="E263" s="6"/>
      <c r="F263" s="6"/>
      <c r="G263" s="6">
        <f t="shared" si="4"/>
        <v>-500000</v>
      </c>
    </row>
    <row r="264" spans="5:7" x14ac:dyDescent="0.25">
      <c r="E264" s="6"/>
      <c r="F264" s="6"/>
      <c r="G264" s="6">
        <f t="shared" si="4"/>
        <v>-500000</v>
      </c>
    </row>
    <row r="265" spans="5:7" x14ac:dyDescent="0.25">
      <c r="E265" s="6"/>
      <c r="F265" s="6"/>
      <c r="G265" s="6">
        <f t="shared" si="4"/>
        <v>-500000</v>
      </c>
    </row>
    <row r="266" spans="5:7" x14ac:dyDescent="0.25">
      <c r="E266" s="6"/>
      <c r="F266" s="6"/>
      <c r="G266" s="6">
        <f t="shared" si="4"/>
        <v>-500000</v>
      </c>
    </row>
    <row r="267" spans="5:7" x14ac:dyDescent="0.25">
      <c r="E267" s="6"/>
      <c r="F267" s="6"/>
      <c r="G267" s="6">
        <f t="shared" si="4"/>
        <v>-500000</v>
      </c>
    </row>
    <row r="268" spans="5:7" x14ac:dyDescent="0.25">
      <c r="E268" s="6"/>
      <c r="F268" s="6"/>
      <c r="G268" s="6">
        <f t="shared" si="4"/>
        <v>-500000</v>
      </c>
    </row>
    <row r="269" spans="5:7" x14ac:dyDescent="0.25">
      <c r="E269" s="6"/>
      <c r="F269" s="6"/>
      <c r="G269" s="6">
        <f t="shared" si="4"/>
        <v>-500000</v>
      </c>
    </row>
    <row r="270" spans="5:7" x14ac:dyDescent="0.25">
      <c r="E270" s="6"/>
      <c r="F270" s="6"/>
      <c r="G270" s="6">
        <f t="shared" si="4"/>
        <v>-500000</v>
      </c>
    </row>
    <row r="271" spans="5:7" x14ac:dyDescent="0.25">
      <c r="E271" s="6"/>
      <c r="F271" s="6"/>
      <c r="G271" s="6">
        <f t="shared" si="4"/>
        <v>-500000</v>
      </c>
    </row>
    <row r="272" spans="5:7" x14ac:dyDescent="0.25">
      <c r="E272" s="6"/>
      <c r="F272" s="6"/>
      <c r="G272" s="6">
        <f t="shared" si="4"/>
        <v>-500000</v>
      </c>
    </row>
    <row r="273" spans="5:7" x14ac:dyDescent="0.25">
      <c r="E273" s="6"/>
      <c r="F273" s="6"/>
      <c r="G273" s="6">
        <f t="shared" si="4"/>
        <v>-500000</v>
      </c>
    </row>
    <row r="274" spans="5:7" x14ac:dyDescent="0.25">
      <c r="E274" s="6"/>
      <c r="F274" s="6"/>
      <c r="G274" s="6">
        <f t="shared" si="4"/>
        <v>-500000</v>
      </c>
    </row>
    <row r="275" spans="5:7" x14ac:dyDescent="0.25">
      <c r="E275" s="6"/>
      <c r="F275" s="6"/>
      <c r="G275" s="6">
        <f t="shared" si="4"/>
        <v>-500000</v>
      </c>
    </row>
    <row r="276" spans="5:7" x14ac:dyDescent="0.25">
      <c r="E276" s="6"/>
      <c r="F276" s="6"/>
      <c r="G276" s="6">
        <f t="shared" si="4"/>
        <v>-500000</v>
      </c>
    </row>
    <row r="277" spans="5:7" x14ac:dyDescent="0.25">
      <c r="E277" s="6"/>
      <c r="F277" s="6"/>
      <c r="G277" s="6">
        <f t="shared" si="4"/>
        <v>-500000</v>
      </c>
    </row>
    <row r="278" spans="5:7" x14ac:dyDescent="0.25">
      <c r="E278" s="6"/>
      <c r="F278" s="6"/>
      <c r="G278" s="6">
        <f t="shared" si="4"/>
        <v>-500000</v>
      </c>
    </row>
    <row r="279" spans="5:7" x14ac:dyDescent="0.25">
      <c r="E279" s="6"/>
      <c r="F279" s="6"/>
      <c r="G279" s="6">
        <f t="shared" si="4"/>
        <v>-500000</v>
      </c>
    </row>
    <row r="280" spans="5:7" x14ac:dyDescent="0.25">
      <c r="E280" s="6"/>
      <c r="F280" s="6"/>
      <c r="G280" s="6">
        <f t="shared" si="4"/>
        <v>-500000</v>
      </c>
    </row>
    <row r="281" spans="5:7" x14ac:dyDescent="0.25">
      <c r="E281" s="6"/>
      <c r="F281" s="6"/>
      <c r="G281" s="6">
        <f t="shared" si="4"/>
        <v>-500000</v>
      </c>
    </row>
    <row r="282" spans="5:7" x14ac:dyDescent="0.25">
      <c r="E282" s="6"/>
      <c r="F282" s="6"/>
      <c r="G282" s="6">
        <f t="shared" si="4"/>
        <v>-500000</v>
      </c>
    </row>
    <row r="283" spans="5:7" x14ac:dyDescent="0.25">
      <c r="E283" s="6"/>
      <c r="F283" s="6"/>
      <c r="G283" s="6">
        <f t="shared" si="4"/>
        <v>-500000</v>
      </c>
    </row>
    <row r="284" spans="5:7" x14ac:dyDescent="0.25">
      <c r="E284" s="6"/>
      <c r="F284" s="6"/>
      <c r="G284" s="6">
        <f t="shared" si="4"/>
        <v>-500000</v>
      </c>
    </row>
    <row r="285" spans="5:7" x14ac:dyDescent="0.25">
      <c r="E285" s="6"/>
      <c r="F285" s="6"/>
      <c r="G285" s="6">
        <f t="shared" si="4"/>
        <v>-500000</v>
      </c>
    </row>
    <row r="286" spans="5:7" x14ac:dyDescent="0.25">
      <c r="E286" s="6"/>
      <c r="F286" s="6"/>
      <c r="G286" s="6">
        <f t="shared" si="4"/>
        <v>-500000</v>
      </c>
    </row>
    <row r="287" spans="5:7" x14ac:dyDescent="0.25">
      <c r="E287" s="6"/>
      <c r="F287" s="6"/>
      <c r="G287" s="6">
        <f t="shared" si="4"/>
        <v>-500000</v>
      </c>
    </row>
    <row r="288" spans="5:7" x14ac:dyDescent="0.25">
      <c r="E288" s="6"/>
      <c r="F288" s="6"/>
      <c r="G288" s="6">
        <f t="shared" si="4"/>
        <v>-500000</v>
      </c>
    </row>
    <row r="289" spans="5:7" x14ac:dyDescent="0.25">
      <c r="E289" s="6"/>
      <c r="F289" s="6"/>
      <c r="G289" s="6">
        <f t="shared" si="4"/>
        <v>-500000</v>
      </c>
    </row>
    <row r="290" spans="5:7" x14ac:dyDescent="0.25">
      <c r="E290" s="6"/>
      <c r="F290" s="6"/>
      <c r="G290" s="6">
        <f t="shared" si="4"/>
        <v>-500000</v>
      </c>
    </row>
    <row r="291" spans="5:7" x14ac:dyDescent="0.25">
      <c r="E291" s="6"/>
      <c r="F291" s="6"/>
      <c r="G291" s="6">
        <f t="shared" si="4"/>
        <v>-500000</v>
      </c>
    </row>
    <row r="292" spans="5:7" x14ac:dyDescent="0.25">
      <c r="E292" s="6"/>
      <c r="F292" s="6"/>
      <c r="G292" s="6">
        <f t="shared" si="4"/>
        <v>-500000</v>
      </c>
    </row>
    <row r="293" spans="5:7" x14ac:dyDescent="0.25">
      <c r="E293" s="6"/>
      <c r="F293" s="6"/>
      <c r="G293" s="6">
        <f t="shared" si="4"/>
        <v>-500000</v>
      </c>
    </row>
    <row r="294" spans="5:7" x14ac:dyDescent="0.25">
      <c r="E294" s="6"/>
      <c r="F294" s="6"/>
      <c r="G294" s="6">
        <f t="shared" si="4"/>
        <v>-500000</v>
      </c>
    </row>
    <row r="295" spans="5:7" x14ac:dyDescent="0.25">
      <c r="E295" s="6"/>
      <c r="F295" s="6"/>
      <c r="G295" s="6">
        <f t="shared" si="4"/>
        <v>-500000</v>
      </c>
    </row>
    <row r="296" spans="5:7" x14ac:dyDescent="0.25">
      <c r="E296" s="6"/>
      <c r="F296" s="6"/>
      <c r="G296" s="6">
        <f t="shared" si="4"/>
        <v>-500000</v>
      </c>
    </row>
    <row r="297" spans="5:7" x14ac:dyDescent="0.25">
      <c r="E297" s="6"/>
      <c r="F297" s="6"/>
      <c r="G297" s="6">
        <f t="shared" si="4"/>
        <v>-500000</v>
      </c>
    </row>
    <row r="298" spans="5:7" x14ac:dyDescent="0.25">
      <c r="E298" s="6"/>
      <c r="F298" s="6"/>
      <c r="G298" s="6">
        <f t="shared" si="4"/>
        <v>-500000</v>
      </c>
    </row>
    <row r="299" spans="5:7" x14ac:dyDescent="0.25">
      <c r="E299" s="6"/>
      <c r="F299" s="6"/>
      <c r="G299" s="6">
        <f t="shared" si="4"/>
        <v>-500000</v>
      </c>
    </row>
    <row r="300" spans="5:7" x14ac:dyDescent="0.25">
      <c r="E300" s="6"/>
      <c r="F300" s="6"/>
      <c r="G300" s="6">
        <f t="shared" si="4"/>
        <v>-500000</v>
      </c>
    </row>
    <row r="301" spans="5:7" x14ac:dyDescent="0.25">
      <c r="E301" s="6"/>
      <c r="F301" s="6"/>
      <c r="G301" s="6">
        <f t="shared" si="4"/>
        <v>-500000</v>
      </c>
    </row>
    <row r="302" spans="5:7" x14ac:dyDescent="0.25">
      <c r="E302" s="6"/>
      <c r="F302" s="6"/>
      <c r="G302" s="6">
        <f t="shared" si="4"/>
        <v>-500000</v>
      </c>
    </row>
    <row r="303" spans="5:7" x14ac:dyDescent="0.25">
      <c r="E303" s="6"/>
      <c r="F303" s="6"/>
      <c r="G303" s="6">
        <f t="shared" si="4"/>
        <v>-500000</v>
      </c>
    </row>
    <row r="304" spans="5:7" x14ac:dyDescent="0.25">
      <c r="E304" s="6"/>
      <c r="F304" s="6"/>
      <c r="G304" s="6">
        <f t="shared" si="4"/>
        <v>-500000</v>
      </c>
    </row>
    <row r="305" spans="5:7" x14ac:dyDescent="0.25">
      <c r="E305" s="6"/>
      <c r="F305" s="6"/>
      <c r="G305" s="6">
        <f t="shared" si="4"/>
        <v>-500000</v>
      </c>
    </row>
    <row r="306" spans="5:7" x14ac:dyDescent="0.25">
      <c r="E306" s="6"/>
      <c r="F306" s="6"/>
      <c r="G306" s="6">
        <f t="shared" si="4"/>
        <v>-500000</v>
      </c>
    </row>
    <row r="307" spans="5:7" x14ac:dyDescent="0.25">
      <c r="E307" s="6"/>
      <c r="F307" s="6"/>
      <c r="G307" s="6">
        <f t="shared" si="4"/>
        <v>-500000</v>
      </c>
    </row>
    <row r="308" spans="5:7" x14ac:dyDescent="0.25">
      <c r="E308" s="6"/>
      <c r="F308" s="6"/>
      <c r="G308" s="6">
        <f t="shared" si="4"/>
        <v>-500000</v>
      </c>
    </row>
    <row r="309" spans="5:7" x14ac:dyDescent="0.25">
      <c r="E309" s="6"/>
      <c r="F309" s="6"/>
      <c r="G309" s="6">
        <f t="shared" si="4"/>
        <v>-500000</v>
      </c>
    </row>
    <row r="310" spans="5:7" x14ac:dyDescent="0.25">
      <c r="E310" s="6"/>
      <c r="F310" s="6"/>
      <c r="G310" s="6">
        <f t="shared" si="4"/>
        <v>-500000</v>
      </c>
    </row>
    <row r="311" spans="5:7" x14ac:dyDescent="0.25">
      <c r="E311" s="6"/>
      <c r="F311" s="6"/>
      <c r="G311" s="6">
        <f t="shared" si="4"/>
        <v>-500000</v>
      </c>
    </row>
    <row r="312" spans="5:7" x14ac:dyDescent="0.25">
      <c r="E312" s="6"/>
      <c r="F312" s="6"/>
      <c r="G312" s="6">
        <f t="shared" si="4"/>
        <v>-500000</v>
      </c>
    </row>
    <row r="313" spans="5:7" x14ac:dyDescent="0.25">
      <c r="E313" s="6"/>
      <c r="F313" s="6"/>
      <c r="G313" s="6">
        <f t="shared" si="4"/>
        <v>-500000</v>
      </c>
    </row>
    <row r="314" spans="5:7" x14ac:dyDescent="0.25">
      <c r="E314" s="6"/>
      <c r="F314" s="6"/>
      <c r="G314" s="6">
        <f t="shared" si="4"/>
        <v>-500000</v>
      </c>
    </row>
    <row r="315" spans="5:7" x14ac:dyDescent="0.25">
      <c r="E315" s="6"/>
      <c r="F315" s="6"/>
      <c r="G315" s="6">
        <f t="shared" si="4"/>
        <v>-500000</v>
      </c>
    </row>
    <row r="316" spans="5:7" x14ac:dyDescent="0.25">
      <c r="E316" s="6"/>
      <c r="F316" s="6"/>
      <c r="G316" s="6">
        <f t="shared" si="4"/>
        <v>-500000</v>
      </c>
    </row>
    <row r="317" spans="5:7" x14ac:dyDescent="0.25">
      <c r="E317" s="6"/>
      <c r="F317" s="6"/>
      <c r="G317" s="6">
        <f t="shared" si="4"/>
        <v>-500000</v>
      </c>
    </row>
    <row r="318" spans="5:7" x14ac:dyDescent="0.25">
      <c r="E318" s="6"/>
      <c r="F318" s="6"/>
      <c r="G318" s="6">
        <f t="shared" si="4"/>
        <v>-500000</v>
      </c>
    </row>
    <row r="319" spans="5:7" x14ac:dyDescent="0.25">
      <c r="E319" s="6"/>
      <c r="F319" s="6"/>
      <c r="G319" s="6">
        <f t="shared" si="4"/>
        <v>-500000</v>
      </c>
    </row>
    <row r="320" spans="5:7" x14ac:dyDescent="0.25">
      <c r="E320" s="6"/>
      <c r="F320" s="6"/>
      <c r="G320" s="6">
        <f t="shared" si="4"/>
        <v>-500000</v>
      </c>
    </row>
    <row r="321" spans="5:7" x14ac:dyDescent="0.25">
      <c r="E321" s="6"/>
      <c r="F321" s="6"/>
      <c r="G321" s="6">
        <f t="shared" si="4"/>
        <v>-500000</v>
      </c>
    </row>
    <row r="322" spans="5:7" x14ac:dyDescent="0.25">
      <c r="E322" s="6"/>
      <c r="F322" s="6"/>
      <c r="G322" s="6">
        <f t="shared" si="4"/>
        <v>-500000</v>
      </c>
    </row>
    <row r="323" spans="5:7" x14ac:dyDescent="0.25">
      <c r="E323" s="6"/>
      <c r="F323" s="6"/>
      <c r="G323" s="6">
        <f t="shared" si="4"/>
        <v>-500000</v>
      </c>
    </row>
    <row r="324" spans="5:7" x14ac:dyDescent="0.25">
      <c r="E324" s="6"/>
      <c r="F324" s="6"/>
      <c r="G324" s="6">
        <f t="shared" si="4"/>
        <v>-500000</v>
      </c>
    </row>
    <row r="325" spans="5:7" x14ac:dyDescent="0.25">
      <c r="E325" s="6"/>
      <c r="F325" s="6"/>
      <c r="G325" s="6">
        <f t="shared" ref="G325:G388" si="5">G324+E325-F325</f>
        <v>-500000</v>
      </c>
    </row>
    <row r="326" spans="5:7" x14ac:dyDescent="0.25">
      <c r="E326" s="6"/>
      <c r="F326" s="6"/>
      <c r="G326" s="6">
        <f t="shared" si="5"/>
        <v>-500000</v>
      </c>
    </row>
    <row r="327" spans="5:7" x14ac:dyDescent="0.25">
      <c r="E327" s="6"/>
      <c r="F327" s="6"/>
      <c r="G327" s="6">
        <f t="shared" si="5"/>
        <v>-500000</v>
      </c>
    </row>
    <row r="328" spans="5:7" x14ac:dyDescent="0.25">
      <c r="E328" s="6"/>
      <c r="F328" s="6"/>
      <c r="G328" s="6">
        <f t="shared" si="5"/>
        <v>-500000</v>
      </c>
    </row>
    <row r="329" spans="5:7" x14ac:dyDescent="0.25">
      <c r="E329" s="6"/>
      <c r="F329" s="6"/>
      <c r="G329" s="6">
        <f t="shared" si="5"/>
        <v>-500000</v>
      </c>
    </row>
    <row r="330" spans="5:7" x14ac:dyDescent="0.25">
      <c r="E330" s="6"/>
      <c r="F330" s="6"/>
      <c r="G330" s="6">
        <f t="shared" si="5"/>
        <v>-500000</v>
      </c>
    </row>
    <row r="331" spans="5:7" x14ac:dyDescent="0.25">
      <c r="E331" s="6"/>
      <c r="F331" s="6"/>
      <c r="G331" s="6">
        <f t="shared" si="5"/>
        <v>-500000</v>
      </c>
    </row>
    <row r="332" spans="5:7" x14ac:dyDescent="0.25">
      <c r="E332" s="6"/>
      <c r="F332" s="6"/>
      <c r="G332" s="6">
        <f t="shared" si="5"/>
        <v>-500000</v>
      </c>
    </row>
    <row r="333" spans="5:7" x14ac:dyDescent="0.25">
      <c r="E333" s="6"/>
      <c r="F333" s="6"/>
      <c r="G333" s="6">
        <f t="shared" si="5"/>
        <v>-500000</v>
      </c>
    </row>
    <row r="334" spans="5:7" x14ac:dyDescent="0.25">
      <c r="E334" s="6"/>
      <c r="F334" s="6"/>
      <c r="G334" s="6">
        <f t="shared" si="5"/>
        <v>-500000</v>
      </c>
    </row>
    <row r="335" spans="5:7" x14ac:dyDescent="0.25">
      <c r="E335" s="6"/>
      <c r="F335" s="6"/>
      <c r="G335" s="6">
        <f t="shared" si="5"/>
        <v>-500000</v>
      </c>
    </row>
    <row r="336" spans="5:7" x14ac:dyDescent="0.25">
      <c r="E336" s="6"/>
      <c r="F336" s="6"/>
      <c r="G336" s="6">
        <f t="shared" si="5"/>
        <v>-500000</v>
      </c>
    </row>
    <row r="337" spans="5:7" x14ac:dyDescent="0.25">
      <c r="E337" s="6"/>
      <c r="F337" s="6"/>
      <c r="G337" s="6">
        <f t="shared" si="5"/>
        <v>-500000</v>
      </c>
    </row>
    <row r="338" spans="5:7" x14ac:dyDescent="0.25">
      <c r="E338" s="6"/>
      <c r="F338" s="6"/>
      <c r="G338" s="6">
        <f t="shared" si="5"/>
        <v>-500000</v>
      </c>
    </row>
    <row r="339" spans="5:7" x14ac:dyDescent="0.25">
      <c r="E339" s="6"/>
      <c r="F339" s="6"/>
      <c r="G339" s="6">
        <f t="shared" si="5"/>
        <v>-500000</v>
      </c>
    </row>
    <row r="340" spans="5:7" x14ac:dyDescent="0.25">
      <c r="E340" s="6"/>
      <c r="F340" s="6"/>
      <c r="G340" s="6">
        <f t="shared" si="5"/>
        <v>-500000</v>
      </c>
    </row>
    <row r="341" spans="5:7" x14ac:dyDescent="0.25">
      <c r="E341" s="6"/>
      <c r="F341" s="6"/>
      <c r="G341" s="6">
        <f t="shared" si="5"/>
        <v>-500000</v>
      </c>
    </row>
    <row r="342" spans="5:7" x14ac:dyDescent="0.25">
      <c r="E342" s="6"/>
      <c r="F342" s="6"/>
      <c r="G342" s="6">
        <f t="shared" si="5"/>
        <v>-500000</v>
      </c>
    </row>
    <row r="343" spans="5:7" x14ac:dyDescent="0.25">
      <c r="E343" s="6"/>
      <c r="F343" s="6"/>
      <c r="G343" s="6">
        <f t="shared" si="5"/>
        <v>-500000</v>
      </c>
    </row>
    <row r="344" spans="5:7" x14ac:dyDescent="0.25">
      <c r="E344" s="6"/>
      <c r="F344" s="6"/>
      <c r="G344" s="6">
        <f t="shared" si="5"/>
        <v>-500000</v>
      </c>
    </row>
    <row r="345" spans="5:7" x14ac:dyDescent="0.25">
      <c r="E345" s="6"/>
      <c r="F345" s="6"/>
      <c r="G345" s="6">
        <f t="shared" si="5"/>
        <v>-500000</v>
      </c>
    </row>
    <row r="346" spans="5:7" x14ac:dyDescent="0.25">
      <c r="E346" s="6"/>
      <c r="F346" s="6"/>
      <c r="G346" s="6">
        <f t="shared" si="5"/>
        <v>-500000</v>
      </c>
    </row>
    <row r="347" spans="5:7" x14ac:dyDescent="0.25">
      <c r="E347" s="6"/>
      <c r="F347" s="6"/>
      <c r="G347" s="6">
        <f t="shared" si="5"/>
        <v>-500000</v>
      </c>
    </row>
    <row r="348" spans="5:7" x14ac:dyDescent="0.25">
      <c r="E348" s="6"/>
      <c r="F348" s="6"/>
      <c r="G348" s="6">
        <f t="shared" si="5"/>
        <v>-500000</v>
      </c>
    </row>
    <row r="349" spans="5:7" x14ac:dyDescent="0.25">
      <c r="E349" s="6"/>
      <c r="F349" s="6"/>
      <c r="G349" s="6">
        <f t="shared" si="5"/>
        <v>-500000</v>
      </c>
    </row>
    <row r="350" spans="5:7" x14ac:dyDescent="0.25">
      <c r="E350" s="6"/>
      <c r="F350" s="6"/>
      <c r="G350" s="6">
        <f t="shared" si="5"/>
        <v>-500000</v>
      </c>
    </row>
    <row r="351" spans="5:7" x14ac:dyDescent="0.25">
      <c r="E351" s="6"/>
      <c r="F351" s="6"/>
      <c r="G351" s="6">
        <f t="shared" si="5"/>
        <v>-500000</v>
      </c>
    </row>
    <row r="352" spans="5:7" x14ac:dyDescent="0.25">
      <c r="E352" s="6"/>
      <c r="F352" s="6"/>
      <c r="G352" s="6">
        <f t="shared" si="5"/>
        <v>-500000</v>
      </c>
    </row>
    <row r="353" spans="5:7" x14ac:dyDescent="0.25">
      <c r="E353" s="6"/>
      <c r="F353" s="6"/>
      <c r="G353" s="6">
        <f t="shared" si="5"/>
        <v>-500000</v>
      </c>
    </row>
    <row r="354" spans="5:7" x14ac:dyDescent="0.25">
      <c r="E354" s="6"/>
      <c r="F354" s="6"/>
      <c r="G354" s="6">
        <f t="shared" si="5"/>
        <v>-500000</v>
      </c>
    </row>
    <row r="355" spans="5:7" x14ac:dyDescent="0.25">
      <c r="E355" s="6"/>
      <c r="F355" s="6"/>
      <c r="G355" s="6">
        <f t="shared" si="5"/>
        <v>-500000</v>
      </c>
    </row>
    <row r="356" spans="5:7" x14ac:dyDescent="0.25">
      <c r="E356" s="6"/>
      <c r="F356" s="6"/>
      <c r="G356" s="6">
        <f t="shared" si="5"/>
        <v>-500000</v>
      </c>
    </row>
    <row r="357" spans="5:7" x14ac:dyDescent="0.25">
      <c r="E357" s="6"/>
      <c r="F357" s="6"/>
      <c r="G357" s="6">
        <f t="shared" si="5"/>
        <v>-500000</v>
      </c>
    </row>
    <row r="358" spans="5:7" x14ac:dyDescent="0.25">
      <c r="E358" s="6"/>
      <c r="F358" s="6"/>
      <c r="G358" s="6">
        <f t="shared" si="5"/>
        <v>-500000</v>
      </c>
    </row>
    <row r="359" spans="5:7" x14ac:dyDescent="0.25">
      <c r="E359" s="6"/>
      <c r="F359" s="6"/>
      <c r="G359" s="6">
        <f t="shared" si="5"/>
        <v>-500000</v>
      </c>
    </row>
    <row r="360" spans="5:7" x14ac:dyDescent="0.25">
      <c r="E360" s="6"/>
      <c r="F360" s="6"/>
      <c r="G360" s="6">
        <f t="shared" si="5"/>
        <v>-500000</v>
      </c>
    </row>
    <row r="361" spans="5:7" x14ac:dyDescent="0.25">
      <c r="E361" s="6"/>
      <c r="F361" s="6"/>
      <c r="G361" s="6">
        <f t="shared" si="5"/>
        <v>-500000</v>
      </c>
    </row>
    <row r="362" spans="5:7" x14ac:dyDescent="0.25">
      <c r="E362" s="6"/>
      <c r="F362" s="6"/>
      <c r="G362" s="6">
        <f t="shared" si="5"/>
        <v>-500000</v>
      </c>
    </row>
    <row r="363" spans="5:7" x14ac:dyDescent="0.25">
      <c r="E363" s="6"/>
      <c r="F363" s="6"/>
      <c r="G363" s="6">
        <f t="shared" si="5"/>
        <v>-500000</v>
      </c>
    </row>
    <row r="364" spans="5:7" x14ac:dyDescent="0.25">
      <c r="E364" s="6"/>
      <c r="F364" s="6"/>
      <c r="G364" s="6">
        <f t="shared" si="5"/>
        <v>-500000</v>
      </c>
    </row>
    <row r="365" spans="5:7" x14ac:dyDescent="0.25">
      <c r="E365" s="6"/>
      <c r="F365" s="6"/>
      <c r="G365" s="6">
        <f t="shared" si="5"/>
        <v>-500000</v>
      </c>
    </row>
    <row r="366" spans="5:7" x14ac:dyDescent="0.25">
      <c r="E366" s="6"/>
      <c r="F366" s="6"/>
      <c r="G366" s="6">
        <f t="shared" si="5"/>
        <v>-500000</v>
      </c>
    </row>
    <row r="367" spans="5:7" x14ac:dyDescent="0.25">
      <c r="E367" s="6"/>
      <c r="F367" s="6"/>
      <c r="G367" s="6">
        <f t="shared" si="5"/>
        <v>-500000</v>
      </c>
    </row>
    <row r="368" spans="5:7" x14ac:dyDescent="0.25">
      <c r="E368" s="6"/>
      <c r="F368" s="6"/>
      <c r="G368" s="6">
        <f t="shared" si="5"/>
        <v>-500000</v>
      </c>
    </row>
    <row r="369" spans="5:7" x14ac:dyDescent="0.25">
      <c r="E369" s="6"/>
      <c r="F369" s="6"/>
      <c r="G369" s="6">
        <f t="shared" si="5"/>
        <v>-500000</v>
      </c>
    </row>
    <row r="370" spans="5:7" x14ac:dyDescent="0.25">
      <c r="E370" s="6"/>
      <c r="F370" s="6"/>
      <c r="G370" s="6">
        <f t="shared" si="5"/>
        <v>-500000</v>
      </c>
    </row>
    <row r="371" spans="5:7" x14ac:dyDescent="0.25">
      <c r="E371" s="6"/>
      <c r="F371" s="6"/>
      <c r="G371" s="6">
        <f t="shared" si="5"/>
        <v>-500000</v>
      </c>
    </row>
    <row r="372" spans="5:7" x14ac:dyDescent="0.25">
      <c r="E372" s="6"/>
      <c r="F372" s="6"/>
      <c r="G372" s="6">
        <f t="shared" si="5"/>
        <v>-500000</v>
      </c>
    </row>
    <row r="373" spans="5:7" x14ac:dyDescent="0.25">
      <c r="E373" s="6"/>
      <c r="F373" s="6"/>
      <c r="G373" s="6">
        <f t="shared" si="5"/>
        <v>-500000</v>
      </c>
    </row>
    <row r="374" spans="5:7" x14ac:dyDescent="0.25">
      <c r="E374" s="6"/>
      <c r="F374" s="6"/>
      <c r="G374" s="6">
        <f t="shared" si="5"/>
        <v>-500000</v>
      </c>
    </row>
    <row r="375" spans="5:7" x14ac:dyDescent="0.25">
      <c r="E375" s="6"/>
      <c r="F375" s="6"/>
      <c r="G375" s="6">
        <f t="shared" si="5"/>
        <v>-500000</v>
      </c>
    </row>
    <row r="376" spans="5:7" x14ac:dyDescent="0.25">
      <c r="E376" s="6"/>
      <c r="F376" s="6"/>
      <c r="G376" s="6">
        <f t="shared" si="5"/>
        <v>-500000</v>
      </c>
    </row>
    <row r="377" spans="5:7" x14ac:dyDescent="0.25">
      <c r="E377" s="6"/>
      <c r="F377" s="6"/>
      <c r="G377" s="6">
        <f t="shared" si="5"/>
        <v>-500000</v>
      </c>
    </row>
    <row r="378" spans="5:7" x14ac:dyDescent="0.25">
      <c r="E378" s="6"/>
      <c r="F378" s="6"/>
      <c r="G378" s="6">
        <f t="shared" si="5"/>
        <v>-500000</v>
      </c>
    </row>
    <row r="379" spans="5:7" x14ac:dyDescent="0.25">
      <c r="E379" s="6"/>
      <c r="F379" s="6"/>
      <c r="G379" s="6">
        <f t="shared" si="5"/>
        <v>-500000</v>
      </c>
    </row>
    <row r="380" spans="5:7" x14ac:dyDescent="0.25">
      <c r="E380" s="6"/>
      <c r="F380" s="6"/>
      <c r="G380" s="6">
        <f t="shared" si="5"/>
        <v>-500000</v>
      </c>
    </row>
    <row r="381" spans="5:7" x14ac:dyDescent="0.25">
      <c r="E381" s="6"/>
      <c r="F381" s="6"/>
      <c r="G381" s="6">
        <f t="shared" si="5"/>
        <v>-500000</v>
      </c>
    </row>
    <row r="382" spans="5:7" x14ac:dyDescent="0.25">
      <c r="E382" s="6"/>
      <c r="F382" s="6"/>
      <c r="G382" s="6">
        <f t="shared" si="5"/>
        <v>-500000</v>
      </c>
    </row>
    <row r="383" spans="5:7" x14ac:dyDescent="0.25">
      <c r="E383" s="6"/>
      <c r="F383" s="6"/>
      <c r="G383" s="6">
        <f t="shared" si="5"/>
        <v>-500000</v>
      </c>
    </row>
    <row r="384" spans="5:7" x14ac:dyDescent="0.25">
      <c r="E384" s="6"/>
      <c r="F384" s="6"/>
      <c r="G384" s="6">
        <f t="shared" si="5"/>
        <v>-500000</v>
      </c>
    </row>
    <row r="385" spans="5:7" x14ac:dyDescent="0.25">
      <c r="E385" s="6"/>
      <c r="F385" s="6"/>
      <c r="G385" s="6">
        <f t="shared" si="5"/>
        <v>-500000</v>
      </c>
    </row>
    <row r="386" spans="5:7" x14ac:dyDescent="0.25">
      <c r="E386" s="6"/>
      <c r="F386" s="6"/>
      <c r="G386" s="6">
        <f t="shared" si="5"/>
        <v>-500000</v>
      </c>
    </row>
    <row r="387" spans="5:7" x14ac:dyDescent="0.25">
      <c r="E387" s="6"/>
      <c r="F387" s="6"/>
      <c r="G387" s="6">
        <f t="shared" si="5"/>
        <v>-500000</v>
      </c>
    </row>
    <row r="388" spans="5:7" x14ac:dyDescent="0.25">
      <c r="E388" s="6"/>
      <c r="F388" s="6"/>
      <c r="G388" s="6">
        <f t="shared" si="5"/>
        <v>-500000</v>
      </c>
    </row>
    <row r="389" spans="5:7" x14ac:dyDescent="0.25">
      <c r="E389" s="6"/>
      <c r="F389" s="6"/>
      <c r="G389" s="6">
        <f t="shared" ref="G389:G452" si="6">G388+E389-F389</f>
        <v>-500000</v>
      </c>
    </row>
    <row r="390" spans="5:7" x14ac:dyDescent="0.25">
      <c r="E390" s="6"/>
      <c r="F390" s="6"/>
      <c r="G390" s="6">
        <f t="shared" si="6"/>
        <v>-500000</v>
      </c>
    </row>
    <row r="391" spans="5:7" x14ac:dyDescent="0.25">
      <c r="E391" s="6"/>
      <c r="F391" s="6"/>
      <c r="G391" s="6">
        <f t="shared" si="6"/>
        <v>-500000</v>
      </c>
    </row>
    <row r="392" spans="5:7" x14ac:dyDescent="0.25">
      <c r="E392" s="6"/>
      <c r="F392" s="6"/>
      <c r="G392" s="6">
        <f t="shared" si="6"/>
        <v>-500000</v>
      </c>
    </row>
    <row r="393" spans="5:7" x14ac:dyDescent="0.25">
      <c r="E393" s="6"/>
      <c r="F393" s="6"/>
      <c r="G393" s="6">
        <f t="shared" si="6"/>
        <v>-500000</v>
      </c>
    </row>
    <row r="394" spans="5:7" x14ac:dyDescent="0.25">
      <c r="E394" s="6"/>
      <c r="F394" s="6"/>
      <c r="G394" s="6">
        <f t="shared" si="6"/>
        <v>-500000</v>
      </c>
    </row>
    <row r="395" spans="5:7" x14ac:dyDescent="0.25">
      <c r="E395" s="6"/>
      <c r="F395" s="6"/>
      <c r="G395" s="6">
        <f t="shared" si="6"/>
        <v>-500000</v>
      </c>
    </row>
    <row r="396" spans="5:7" x14ac:dyDescent="0.25">
      <c r="E396" s="6"/>
      <c r="F396" s="6"/>
      <c r="G396" s="6">
        <f t="shared" si="6"/>
        <v>-500000</v>
      </c>
    </row>
    <row r="397" spans="5:7" x14ac:dyDescent="0.25">
      <c r="E397" s="6"/>
      <c r="F397" s="6"/>
      <c r="G397" s="6">
        <f t="shared" si="6"/>
        <v>-500000</v>
      </c>
    </row>
    <row r="398" spans="5:7" x14ac:dyDescent="0.25">
      <c r="E398" s="6"/>
      <c r="F398" s="6"/>
      <c r="G398" s="6">
        <f t="shared" si="6"/>
        <v>-500000</v>
      </c>
    </row>
    <row r="399" spans="5:7" x14ac:dyDescent="0.25">
      <c r="E399" s="6"/>
      <c r="F399" s="6"/>
      <c r="G399" s="6">
        <f t="shared" si="6"/>
        <v>-500000</v>
      </c>
    </row>
    <row r="400" spans="5:7" x14ac:dyDescent="0.25">
      <c r="E400" s="6"/>
      <c r="F400" s="6"/>
      <c r="G400" s="6">
        <f t="shared" si="6"/>
        <v>-500000</v>
      </c>
    </row>
    <row r="401" spans="5:7" x14ac:dyDescent="0.25">
      <c r="E401" s="6"/>
      <c r="F401" s="6"/>
      <c r="G401" s="6">
        <f t="shared" si="6"/>
        <v>-500000</v>
      </c>
    </row>
    <row r="402" spans="5:7" x14ac:dyDescent="0.25">
      <c r="E402" s="6"/>
      <c r="F402" s="6"/>
      <c r="G402" s="6">
        <f t="shared" si="6"/>
        <v>-500000</v>
      </c>
    </row>
    <row r="403" spans="5:7" x14ac:dyDescent="0.25">
      <c r="E403" s="6"/>
      <c r="F403" s="6"/>
      <c r="G403" s="6">
        <f t="shared" si="6"/>
        <v>-500000</v>
      </c>
    </row>
    <row r="404" spans="5:7" x14ac:dyDescent="0.25">
      <c r="E404" s="6"/>
      <c r="F404" s="6"/>
      <c r="G404" s="6">
        <f t="shared" si="6"/>
        <v>-500000</v>
      </c>
    </row>
    <row r="405" spans="5:7" x14ac:dyDescent="0.25">
      <c r="E405" s="6"/>
      <c r="F405" s="6"/>
      <c r="G405" s="6">
        <f t="shared" si="6"/>
        <v>-500000</v>
      </c>
    </row>
    <row r="406" spans="5:7" x14ac:dyDescent="0.25">
      <c r="E406" s="6"/>
      <c r="F406" s="6"/>
      <c r="G406" s="6">
        <f t="shared" si="6"/>
        <v>-500000</v>
      </c>
    </row>
    <row r="407" spans="5:7" x14ac:dyDescent="0.25">
      <c r="E407" s="6"/>
      <c r="F407" s="6"/>
      <c r="G407" s="6">
        <f t="shared" si="6"/>
        <v>-500000</v>
      </c>
    </row>
    <row r="408" spans="5:7" x14ac:dyDescent="0.25">
      <c r="E408" s="6"/>
      <c r="F408" s="6"/>
      <c r="G408" s="6">
        <f t="shared" si="6"/>
        <v>-500000</v>
      </c>
    </row>
    <row r="409" spans="5:7" x14ac:dyDescent="0.25">
      <c r="E409" s="6"/>
      <c r="F409" s="6"/>
      <c r="G409" s="6">
        <f t="shared" si="6"/>
        <v>-500000</v>
      </c>
    </row>
    <row r="410" spans="5:7" x14ac:dyDescent="0.25">
      <c r="E410" s="6"/>
      <c r="F410" s="6"/>
      <c r="G410" s="6">
        <f t="shared" si="6"/>
        <v>-500000</v>
      </c>
    </row>
    <row r="411" spans="5:7" x14ac:dyDescent="0.25">
      <c r="E411" s="6"/>
      <c r="F411" s="6"/>
      <c r="G411" s="6">
        <f t="shared" si="6"/>
        <v>-500000</v>
      </c>
    </row>
    <row r="412" spans="5:7" x14ac:dyDescent="0.25">
      <c r="E412" s="6"/>
      <c r="F412" s="6"/>
      <c r="G412" s="6">
        <f t="shared" si="6"/>
        <v>-500000</v>
      </c>
    </row>
    <row r="413" spans="5:7" x14ac:dyDescent="0.25">
      <c r="E413" s="6"/>
      <c r="F413" s="6"/>
      <c r="G413" s="6">
        <f t="shared" si="6"/>
        <v>-500000</v>
      </c>
    </row>
    <row r="414" spans="5:7" x14ac:dyDescent="0.25">
      <c r="E414" s="6"/>
      <c r="F414" s="6"/>
      <c r="G414" s="6">
        <f t="shared" si="6"/>
        <v>-500000</v>
      </c>
    </row>
    <row r="415" spans="5:7" x14ac:dyDescent="0.25">
      <c r="E415" s="6"/>
      <c r="F415" s="6"/>
      <c r="G415" s="6">
        <f t="shared" si="6"/>
        <v>-500000</v>
      </c>
    </row>
    <row r="416" spans="5:7" x14ac:dyDescent="0.25">
      <c r="E416" s="6"/>
      <c r="F416" s="6"/>
      <c r="G416" s="6">
        <f t="shared" si="6"/>
        <v>-500000</v>
      </c>
    </row>
    <row r="417" spans="5:7" x14ac:dyDescent="0.25">
      <c r="E417" s="6"/>
      <c r="F417" s="6"/>
      <c r="G417" s="6">
        <f t="shared" si="6"/>
        <v>-500000</v>
      </c>
    </row>
    <row r="418" spans="5:7" x14ac:dyDescent="0.25">
      <c r="E418" s="6"/>
      <c r="F418" s="6"/>
      <c r="G418" s="6">
        <f t="shared" si="6"/>
        <v>-500000</v>
      </c>
    </row>
    <row r="419" spans="5:7" x14ac:dyDescent="0.25">
      <c r="E419" s="6"/>
      <c r="F419" s="6"/>
      <c r="G419" s="6">
        <f t="shared" si="6"/>
        <v>-500000</v>
      </c>
    </row>
    <row r="420" spans="5:7" x14ac:dyDescent="0.25">
      <c r="E420" s="6"/>
      <c r="F420" s="6"/>
      <c r="G420" s="6">
        <f t="shared" si="6"/>
        <v>-500000</v>
      </c>
    </row>
    <row r="421" spans="5:7" x14ac:dyDescent="0.25">
      <c r="E421" s="6"/>
      <c r="F421" s="6"/>
      <c r="G421" s="6">
        <f t="shared" si="6"/>
        <v>-500000</v>
      </c>
    </row>
    <row r="422" spans="5:7" x14ac:dyDescent="0.25">
      <c r="E422" s="6"/>
      <c r="F422" s="6"/>
      <c r="G422" s="6">
        <f t="shared" si="6"/>
        <v>-500000</v>
      </c>
    </row>
    <row r="423" spans="5:7" x14ac:dyDescent="0.25">
      <c r="E423" s="6"/>
      <c r="F423" s="6"/>
      <c r="G423" s="6">
        <f t="shared" si="6"/>
        <v>-500000</v>
      </c>
    </row>
    <row r="424" spans="5:7" x14ac:dyDescent="0.25">
      <c r="E424" s="6"/>
      <c r="F424" s="6"/>
      <c r="G424" s="6">
        <f t="shared" si="6"/>
        <v>-500000</v>
      </c>
    </row>
    <row r="425" spans="5:7" x14ac:dyDescent="0.25">
      <c r="E425" s="6"/>
      <c r="F425" s="6"/>
      <c r="G425" s="6">
        <f t="shared" si="6"/>
        <v>-500000</v>
      </c>
    </row>
    <row r="426" spans="5:7" x14ac:dyDescent="0.25">
      <c r="E426" s="6"/>
      <c r="F426" s="6"/>
      <c r="G426" s="6">
        <f t="shared" si="6"/>
        <v>-500000</v>
      </c>
    </row>
    <row r="427" spans="5:7" x14ac:dyDescent="0.25">
      <c r="E427" s="6"/>
      <c r="F427" s="6"/>
      <c r="G427" s="6">
        <f t="shared" si="6"/>
        <v>-500000</v>
      </c>
    </row>
    <row r="428" spans="5:7" x14ac:dyDescent="0.25">
      <c r="E428" s="6"/>
      <c r="F428" s="6"/>
      <c r="G428" s="6">
        <f t="shared" si="6"/>
        <v>-500000</v>
      </c>
    </row>
    <row r="429" spans="5:7" x14ac:dyDescent="0.25">
      <c r="E429" s="6"/>
      <c r="F429" s="6"/>
      <c r="G429" s="6">
        <f t="shared" si="6"/>
        <v>-500000</v>
      </c>
    </row>
    <row r="430" spans="5:7" x14ac:dyDescent="0.25">
      <c r="E430" s="6"/>
      <c r="F430" s="6"/>
      <c r="G430" s="6">
        <f t="shared" si="6"/>
        <v>-500000</v>
      </c>
    </row>
    <row r="431" spans="5:7" x14ac:dyDescent="0.25">
      <c r="E431" s="6"/>
      <c r="F431" s="6"/>
      <c r="G431" s="6">
        <f t="shared" si="6"/>
        <v>-500000</v>
      </c>
    </row>
    <row r="432" spans="5:7" x14ac:dyDescent="0.25">
      <c r="E432" s="6"/>
      <c r="F432" s="6"/>
      <c r="G432" s="6">
        <f t="shared" si="6"/>
        <v>-500000</v>
      </c>
    </row>
    <row r="433" spans="5:7" x14ac:dyDescent="0.25">
      <c r="E433" s="6"/>
      <c r="F433" s="6"/>
      <c r="G433" s="6">
        <f t="shared" si="6"/>
        <v>-500000</v>
      </c>
    </row>
    <row r="434" spans="5:7" x14ac:dyDescent="0.25">
      <c r="E434" s="6"/>
      <c r="F434" s="6"/>
      <c r="G434" s="6">
        <f t="shared" si="6"/>
        <v>-500000</v>
      </c>
    </row>
    <row r="435" spans="5:7" x14ac:dyDescent="0.25">
      <c r="E435" s="6"/>
      <c r="F435" s="6"/>
      <c r="G435" s="6">
        <f t="shared" si="6"/>
        <v>-500000</v>
      </c>
    </row>
    <row r="436" spans="5:7" x14ac:dyDescent="0.25">
      <c r="E436" s="6"/>
      <c r="F436" s="6"/>
      <c r="G436" s="6">
        <f t="shared" si="6"/>
        <v>-500000</v>
      </c>
    </row>
    <row r="437" spans="5:7" x14ac:dyDescent="0.25">
      <c r="E437" s="6"/>
      <c r="F437" s="6"/>
      <c r="G437" s="6">
        <f t="shared" si="6"/>
        <v>-500000</v>
      </c>
    </row>
    <row r="438" spans="5:7" x14ac:dyDescent="0.25">
      <c r="E438" s="6"/>
      <c r="F438" s="6"/>
      <c r="G438" s="6">
        <f t="shared" si="6"/>
        <v>-500000</v>
      </c>
    </row>
    <row r="439" spans="5:7" x14ac:dyDescent="0.25">
      <c r="E439" s="6"/>
      <c r="F439" s="6"/>
      <c r="G439" s="6">
        <f t="shared" si="6"/>
        <v>-500000</v>
      </c>
    </row>
    <row r="440" spans="5:7" x14ac:dyDescent="0.25">
      <c r="E440" s="6"/>
      <c r="F440" s="6"/>
      <c r="G440" s="6">
        <f t="shared" si="6"/>
        <v>-500000</v>
      </c>
    </row>
    <row r="441" spans="5:7" x14ac:dyDescent="0.25">
      <c r="E441" s="6"/>
      <c r="F441" s="6"/>
      <c r="G441" s="6">
        <f t="shared" si="6"/>
        <v>-500000</v>
      </c>
    </row>
    <row r="442" spans="5:7" x14ac:dyDescent="0.25">
      <c r="E442" s="6"/>
      <c r="F442" s="6"/>
      <c r="G442" s="6">
        <f t="shared" si="6"/>
        <v>-500000</v>
      </c>
    </row>
    <row r="443" spans="5:7" x14ac:dyDescent="0.25">
      <c r="E443" s="6"/>
      <c r="F443" s="6"/>
      <c r="G443" s="6">
        <f t="shared" si="6"/>
        <v>-500000</v>
      </c>
    </row>
    <row r="444" spans="5:7" x14ac:dyDescent="0.25">
      <c r="E444" s="6"/>
      <c r="F444" s="6"/>
      <c r="G444" s="6">
        <f t="shared" si="6"/>
        <v>-500000</v>
      </c>
    </row>
    <row r="445" spans="5:7" x14ac:dyDescent="0.25">
      <c r="E445" s="6"/>
      <c r="F445" s="6"/>
      <c r="G445" s="6">
        <f t="shared" si="6"/>
        <v>-500000</v>
      </c>
    </row>
    <row r="446" spans="5:7" x14ac:dyDescent="0.25">
      <c r="E446" s="6"/>
      <c r="F446" s="6"/>
      <c r="G446" s="6">
        <f t="shared" si="6"/>
        <v>-500000</v>
      </c>
    </row>
    <row r="447" spans="5:7" x14ac:dyDescent="0.25">
      <c r="E447" s="6"/>
      <c r="F447" s="6"/>
      <c r="G447" s="6">
        <f t="shared" si="6"/>
        <v>-500000</v>
      </c>
    </row>
    <row r="448" spans="5:7" x14ac:dyDescent="0.25">
      <c r="E448" s="6"/>
      <c r="F448" s="6"/>
      <c r="G448" s="6">
        <f t="shared" si="6"/>
        <v>-500000</v>
      </c>
    </row>
    <row r="449" spans="5:7" x14ac:dyDescent="0.25">
      <c r="E449" s="6"/>
      <c r="F449" s="6"/>
      <c r="G449" s="6">
        <f t="shared" si="6"/>
        <v>-500000</v>
      </c>
    </row>
    <row r="450" spans="5:7" x14ac:dyDescent="0.25">
      <c r="E450" s="6"/>
      <c r="F450" s="6"/>
      <c r="G450" s="6">
        <f t="shared" si="6"/>
        <v>-500000</v>
      </c>
    </row>
    <row r="451" spans="5:7" x14ac:dyDescent="0.25">
      <c r="E451" s="6"/>
      <c r="F451" s="6"/>
      <c r="G451" s="6">
        <f t="shared" si="6"/>
        <v>-500000</v>
      </c>
    </row>
    <row r="452" spans="5:7" x14ac:dyDescent="0.25">
      <c r="E452" s="6"/>
      <c r="F452" s="6"/>
      <c r="G452" s="6">
        <f t="shared" si="6"/>
        <v>-500000</v>
      </c>
    </row>
    <row r="453" spans="5:7" x14ac:dyDescent="0.25">
      <c r="E453" s="6"/>
      <c r="F453" s="6"/>
      <c r="G453" s="6">
        <f t="shared" ref="G453:G516" si="7">G452+E453-F453</f>
        <v>-500000</v>
      </c>
    </row>
    <row r="454" spans="5:7" x14ac:dyDescent="0.25">
      <c r="E454" s="6"/>
      <c r="F454" s="6"/>
      <c r="G454" s="6">
        <f t="shared" si="7"/>
        <v>-500000</v>
      </c>
    </row>
    <row r="455" spans="5:7" x14ac:dyDescent="0.25">
      <c r="E455" s="6"/>
      <c r="F455" s="6"/>
      <c r="G455" s="6">
        <f t="shared" si="7"/>
        <v>-500000</v>
      </c>
    </row>
    <row r="456" spans="5:7" x14ac:dyDescent="0.25">
      <c r="E456" s="6"/>
      <c r="F456" s="6"/>
      <c r="G456" s="6">
        <f t="shared" si="7"/>
        <v>-500000</v>
      </c>
    </row>
    <row r="457" spans="5:7" x14ac:dyDescent="0.25">
      <c r="E457" s="6"/>
      <c r="F457" s="6"/>
      <c r="G457" s="6">
        <f t="shared" si="7"/>
        <v>-500000</v>
      </c>
    </row>
    <row r="458" spans="5:7" x14ac:dyDescent="0.25">
      <c r="E458" s="6"/>
      <c r="F458" s="6"/>
      <c r="G458" s="6">
        <f t="shared" si="7"/>
        <v>-500000</v>
      </c>
    </row>
    <row r="459" spans="5:7" x14ac:dyDescent="0.25">
      <c r="E459" s="6"/>
      <c r="F459" s="6"/>
      <c r="G459" s="6">
        <f t="shared" si="7"/>
        <v>-500000</v>
      </c>
    </row>
    <row r="460" spans="5:7" x14ac:dyDescent="0.25">
      <c r="E460" s="6"/>
      <c r="F460" s="6"/>
      <c r="G460" s="6">
        <f t="shared" si="7"/>
        <v>-500000</v>
      </c>
    </row>
    <row r="461" spans="5:7" x14ac:dyDescent="0.25">
      <c r="E461" s="6"/>
      <c r="F461" s="6"/>
      <c r="G461" s="6">
        <f t="shared" si="7"/>
        <v>-500000</v>
      </c>
    </row>
    <row r="462" spans="5:7" x14ac:dyDescent="0.25">
      <c r="E462" s="6"/>
      <c r="F462" s="6"/>
      <c r="G462" s="6">
        <f t="shared" si="7"/>
        <v>-500000</v>
      </c>
    </row>
    <row r="463" spans="5:7" x14ac:dyDescent="0.25">
      <c r="E463" s="6"/>
      <c r="F463" s="6"/>
      <c r="G463" s="6">
        <f t="shared" si="7"/>
        <v>-500000</v>
      </c>
    </row>
    <row r="464" spans="5:7" x14ac:dyDescent="0.25">
      <c r="E464" s="6"/>
      <c r="F464" s="6"/>
      <c r="G464" s="6">
        <f t="shared" si="7"/>
        <v>-500000</v>
      </c>
    </row>
    <row r="465" spans="5:7" x14ac:dyDescent="0.25">
      <c r="E465" s="6"/>
      <c r="F465" s="6"/>
      <c r="G465" s="6">
        <f t="shared" si="7"/>
        <v>-500000</v>
      </c>
    </row>
    <row r="466" spans="5:7" x14ac:dyDescent="0.25">
      <c r="E466" s="6"/>
      <c r="F466" s="6"/>
      <c r="G466" s="6">
        <f t="shared" si="7"/>
        <v>-500000</v>
      </c>
    </row>
    <row r="467" spans="5:7" x14ac:dyDescent="0.25">
      <c r="E467" s="6"/>
      <c r="F467" s="6"/>
      <c r="G467" s="6">
        <f t="shared" si="7"/>
        <v>-500000</v>
      </c>
    </row>
    <row r="468" spans="5:7" x14ac:dyDescent="0.25">
      <c r="E468" s="6"/>
      <c r="F468" s="6"/>
      <c r="G468" s="6">
        <f t="shared" si="7"/>
        <v>-500000</v>
      </c>
    </row>
    <row r="469" spans="5:7" x14ac:dyDescent="0.25">
      <c r="E469" s="6"/>
      <c r="F469" s="6"/>
      <c r="G469" s="6">
        <f t="shared" si="7"/>
        <v>-500000</v>
      </c>
    </row>
    <row r="470" spans="5:7" x14ac:dyDescent="0.25">
      <c r="E470" s="6"/>
      <c r="F470" s="6"/>
      <c r="G470" s="6">
        <f t="shared" si="7"/>
        <v>-500000</v>
      </c>
    </row>
    <row r="471" spans="5:7" x14ac:dyDescent="0.25">
      <c r="E471" s="6"/>
      <c r="F471" s="6"/>
      <c r="G471" s="6">
        <f t="shared" si="7"/>
        <v>-500000</v>
      </c>
    </row>
    <row r="472" spans="5:7" x14ac:dyDescent="0.25">
      <c r="E472" s="6"/>
      <c r="F472" s="6"/>
      <c r="G472" s="6">
        <f t="shared" si="7"/>
        <v>-500000</v>
      </c>
    </row>
    <row r="473" spans="5:7" x14ac:dyDescent="0.25">
      <c r="E473" s="6"/>
      <c r="F473" s="6"/>
      <c r="G473" s="6">
        <f t="shared" si="7"/>
        <v>-500000</v>
      </c>
    </row>
    <row r="474" spans="5:7" x14ac:dyDescent="0.25">
      <c r="E474" s="6"/>
      <c r="F474" s="6"/>
      <c r="G474" s="6">
        <f t="shared" si="7"/>
        <v>-500000</v>
      </c>
    </row>
    <row r="475" spans="5:7" x14ac:dyDescent="0.25">
      <c r="E475" s="6"/>
      <c r="F475" s="6"/>
      <c r="G475" s="6">
        <f t="shared" si="7"/>
        <v>-500000</v>
      </c>
    </row>
    <row r="476" spans="5:7" x14ac:dyDescent="0.25">
      <c r="E476" s="6"/>
      <c r="F476" s="6"/>
      <c r="G476" s="6">
        <f t="shared" si="7"/>
        <v>-500000</v>
      </c>
    </row>
    <row r="477" spans="5:7" x14ac:dyDescent="0.25">
      <c r="E477" s="6"/>
      <c r="F477" s="6"/>
      <c r="G477" s="6">
        <f t="shared" si="7"/>
        <v>-500000</v>
      </c>
    </row>
    <row r="478" spans="5:7" x14ac:dyDescent="0.25">
      <c r="E478" s="6"/>
      <c r="F478" s="6"/>
      <c r="G478" s="6">
        <f t="shared" si="7"/>
        <v>-500000</v>
      </c>
    </row>
    <row r="479" spans="5:7" x14ac:dyDescent="0.25">
      <c r="E479" s="6"/>
      <c r="F479" s="6"/>
      <c r="G479" s="6">
        <f t="shared" si="7"/>
        <v>-500000</v>
      </c>
    </row>
    <row r="480" spans="5:7" x14ac:dyDescent="0.25">
      <c r="E480" s="6"/>
      <c r="F480" s="6"/>
      <c r="G480" s="6">
        <f t="shared" si="7"/>
        <v>-500000</v>
      </c>
    </row>
    <row r="481" spans="5:7" x14ac:dyDescent="0.25">
      <c r="E481" s="6"/>
      <c r="F481" s="6"/>
      <c r="G481" s="6">
        <f t="shared" si="7"/>
        <v>-500000</v>
      </c>
    </row>
    <row r="482" spans="5:7" x14ac:dyDescent="0.25">
      <c r="E482" s="6"/>
      <c r="F482" s="6"/>
      <c r="G482" s="6">
        <f t="shared" si="7"/>
        <v>-500000</v>
      </c>
    </row>
    <row r="483" spans="5:7" x14ac:dyDescent="0.25">
      <c r="E483" s="6"/>
      <c r="F483" s="6"/>
      <c r="G483" s="6">
        <f t="shared" si="7"/>
        <v>-500000</v>
      </c>
    </row>
    <row r="484" spans="5:7" x14ac:dyDescent="0.25">
      <c r="E484" s="6"/>
      <c r="F484" s="6"/>
      <c r="G484" s="6">
        <f t="shared" si="7"/>
        <v>-500000</v>
      </c>
    </row>
    <row r="485" spans="5:7" x14ac:dyDescent="0.25">
      <c r="E485" s="6"/>
      <c r="F485" s="6"/>
      <c r="G485" s="6">
        <f t="shared" si="7"/>
        <v>-500000</v>
      </c>
    </row>
    <row r="486" spans="5:7" x14ac:dyDescent="0.25">
      <c r="E486" s="6"/>
      <c r="F486" s="6"/>
      <c r="G486" s="6">
        <f t="shared" si="7"/>
        <v>-500000</v>
      </c>
    </row>
    <row r="487" spans="5:7" x14ac:dyDescent="0.25">
      <c r="E487" s="6"/>
      <c r="F487" s="6"/>
      <c r="G487" s="6">
        <f t="shared" si="7"/>
        <v>-500000</v>
      </c>
    </row>
    <row r="488" spans="5:7" x14ac:dyDescent="0.25">
      <c r="E488" s="6"/>
      <c r="F488" s="6"/>
      <c r="G488" s="6">
        <f t="shared" si="7"/>
        <v>-500000</v>
      </c>
    </row>
    <row r="489" spans="5:7" x14ac:dyDescent="0.25">
      <c r="E489" s="6"/>
      <c r="F489" s="6"/>
      <c r="G489" s="6">
        <f t="shared" si="7"/>
        <v>-500000</v>
      </c>
    </row>
    <row r="490" spans="5:7" x14ac:dyDescent="0.25">
      <c r="E490" s="6"/>
      <c r="F490" s="6"/>
      <c r="G490" s="6">
        <f t="shared" si="7"/>
        <v>-500000</v>
      </c>
    </row>
    <row r="491" spans="5:7" x14ac:dyDescent="0.25">
      <c r="E491" s="6"/>
      <c r="F491" s="6"/>
      <c r="G491" s="6">
        <f t="shared" si="7"/>
        <v>-500000</v>
      </c>
    </row>
    <row r="492" spans="5:7" x14ac:dyDescent="0.25">
      <c r="E492" s="6"/>
      <c r="F492" s="6"/>
      <c r="G492" s="6">
        <f t="shared" si="7"/>
        <v>-500000</v>
      </c>
    </row>
    <row r="493" spans="5:7" x14ac:dyDescent="0.25">
      <c r="E493" s="6"/>
      <c r="F493" s="6"/>
      <c r="G493" s="6">
        <f t="shared" si="7"/>
        <v>-500000</v>
      </c>
    </row>
    <row r="494" spans="5:7" x14ac:dyDescent="0.25">
      <c r="E494" s="6"/>
      <c r="F494" s="6"/>
      <c r="G494" s="6">
        <f t="shared" si="7"/>
        <v>-500000</v>
      </c>
    </row>
    <row r="495" spans="5:7" x14ac:dyDescent="0.25">
      <c r="E495" s="6"/>
      <c r="F495" s="6"/>
      <c r="G495" s="6">
        <f t="shared" si="7"/>
        <v>-500000</v>
      </c>
    </row>
    <row r="496" spans="5:7" x14ac:dyDescent="0.25">
      <c r="E496" s="6"/>
      <c r="F496" s="6"/>
      <c r="G496" s="6">
        <f t="shared" si="7"/>
        <v>-500000</v>
      </c>
    </row>
    <row r="497" spans="5:7" x14ac:dyDescent="0.25">
      <c r="E497" s="6"/>
      <c r="F497" s="6"/>
      <c r="G497" s="6">
        <f t="shared" si="7"/>
        <v>-500000</v>
      </c>
    </row>
    <row r="498" spans="5:7" x14ac:dyDescent="0.25">
      <c r="E498" s="6"/>
      <c r="F498" s="6"/>
      <c r="G498" s="6">
        <f t="shared" si="7"/>
        <v>-500000</v>
      </c>
    </row>
    <row r="499" spans="5:7" x14ac:dyDescent="0.25">
      <c r="E499" s="6"/>
      <c r="F499" s="6"/>
      <c r="G499" s="6">
        <f t="shared" si="7"/>
        <v>-500000</v>
      </c>
    </row>
    <row r="500" spans="5:7" x14ac:dyDescent="0.25">
      <c r="E500" s="6"/>
      <c r="F500" s="6"/>
      <c r="G500" s="6">
        <f t="shared" si="7"/>
        <v>-500000</v>
      </c>
    </row>
    <row r="501" spans="5:7" x14ac:dyDescent="0.25">
      <c r="E501" s="6"/>
      <c r="F501" s="6"/>
      <c r="G501" s="6">
        <f t="shared" si="7"/>
        <v>-500000</v>
      </c>
    </row>
    <row r="502" spans="5:7" x14ac:dyDescent="0.25">
      <c r="E502" s="6"/>
      <c r="F502" s="6"/>
      <c r="G502" s="6">
        <f t="shared" si="7"/>
        <v>-500000</v>
      </c>
    </row>
    <row r="503" spans="5:7" x14ac:dyDescent="0.25">
      <c r="E503" s="6"/>
      <c r="F503" s="6"/>
      <c r="G503" s="6">
        <f t="shared" si="7"/>
        <v>-500000</v>
      </c>
    </row>
  </sheetData>
  <autoFilter ref="A1:I503" xr:uid="{00000000-0009-0000-0000-000009000000}"/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203"/>
  <sheetViews>
    <sheetView showGridLines="0" workbookViewId="0">
      <pane ySplit="3" topLeftCell="A34" activePane="bottomLeft" state="frozen"/>
      <selection pane="bottomLeft" activeCell="K3" sqref="K3"/>
    </sheetView>
  </sheetViews>
  <sheetFormatPr defaultRowHeight="15" x14ac:dyDescent="0.25"/>
  <cols>
    <col min="1" max="1" width="18" customWidth="1"/>
    <col min="2" max="3" width="16" customWidth="1"/>
    <col min="4" max="4" width="18" customWidth="1"/>
    <col min="5" max="8" width="16" customWidth="1"/>
    <col min="9" max="9" width="14" customWidth="1"/>
    <col min="10" max="10" width="16" customWidth="1"/>
    <col min="11" max="11" width="20" customWidth="1"/>
    <col min="12" max="12" width="18" customWidth="1"/>
    <col min="13" max="13" width="36" customWidth="1"/>
  </cols>
  <sheetData>
    <row r="1" spans="1:13" ht="21" x14ac:dyDescent="0.35">
      <c r="A1" s="10" t="s">
        <v>201</v>
      </c>
      <c r="B1" s="11"/>
      <c r="C1" s="11"/>
      <c r="D1" s="11"/>
      <c r="E1" s="11"/>
      <c r="F1" s="11"/>
      <c r="G1" s="11"/>
      <c r="H1" s="11"/>
      <c r="I1" s="11"/>
    </row>
    <row r="3" spans="1:13" x14ac:dyDescent="0.25">
      <c r="A3" s="16" t="s">
        <v>159</v>
      </c>
      <c r="B3" s="16" t="s">
        <v>202</v>
      </c>
      <c r="C3" s="16" t="s">
        <v>203</v>
      </c>
      <c r="D3" s="16" t="s">
        <v>204</v>
      </c>
      <c r="E3" s="16" t="s">
        <v>205</v>
      </c>
      <c r="F3" s="16" t="s">
        <v>206</v>
      </c>
      <c r="G3" s="16" t="s">
        <v>207</v>
      </c>
      <c r="H3" s="16" t="s">
        <v>208</v>
      </c>
      <c r="I3" s="16" t="s">
        <v>164</v>
      </c>
      <c r="J3" s="16" t="s">
        <v>209</v>
      </c>
      <c r="K3" s="16" t="s">
        <v>210</v>
      </c>
      <c r="L3" s="16" t="s">
        <v>211</v>
      </c>
      <c r="M3" s="16" t="s">
        <v>93</v>
      </c>
    </row>
    <row r="4" spans="1:13" x14ac:dyDescent="0.25">
      <c r="A4" s="14"/>
      <c r="B4" s="15" t="str">
        <f>IF(A4="","",SUMIF(PEMBAYARAN!B:B,A4,PEMBAYARAN!F:F))</f>
        <v/>
      </c>
      <c r="C4" s="15" t="str">
        <f>IF(B4="","",B4*PENGATURAN!$B$21)</f>
        <v/>
      </c>
      <c r="D4" s="15" t="str">
        <f>IF(B4="","",B4*PENGATURAN!$B$22)</f>
        <v/>
      </c>
      <c r="E4" s="15" t="str">
        <f>IF(B4="","",B4*PENGATURAN!$B$23)</f>
        <v/>
      </c>
      <c r="F4" s="15" t="str">
        <f>IF(B4="","",B4*PENGATURAN!$B$24)</f>
        <v/>
      </c>
      <c r="G4" s="15" t="str">
        <f>IF(B4="","",B4*PENGATURAN!$B$25)</f>
        <v/>
      </c>
      <c r="H4" s="15" t="str">
        <f t="shared" ref="H4:H35" si="0">IF(B4="","",SUM(C4:G4))</f>
        <v/>
      </c>
      <c r="I4" s="15" t="str">
        <f t="shared" ref="I4:I35" si="1">IF(B4="","",B4-H4)</f>
        <v/>
      </c>
      <c r="J4" s="14"/>
      <c r="K4" s="14"/>
      <c r="L4" s="15">
        <f t="shared" ref="L4:L35" si="2">IF(OR(J4&lt;&gt;"Lunas",K4&lt;&gt;"Tercukupi"),0,I4)</f>
        <v>0</v>
      </c>
      <c r="M4" s="14"/>
    </row>
    <row r="5" spans="1:13" x14ac:dyDescent="0.25">
      <c r="A5" s="14"/>
      <c r="B5" s="15" t="str">
        <f>IF(A5="","",SUMIF(PEMBAYARAN!B:B,A5,PEMBAYARAN!F:F))</f>
        <v/>
      </c>
      <c r="C5" s="15" t="str">
        <f>IF(B5="","",B5*PENGATURAN!$B$21)</f>
        <v/>
      </c>
      <c r="D5" s="15" t="str">
        <f>IF(B5="","",B5*PENGATURAN!$B$22)</f>
        <v/>
      </c>
      <c r="E5" s="15" t="str">
        <f>IF(B5="","",B5*PENGATURAN!$B$23)</f>
        <v/>
      </c>
      <c r="F5" s="15" t="str">
        <f>IF(B5="","",B5*PENGATURAN!$B$24)</f>
        <v/>
      </c>
      <c r="G5" s="15" t="str">
        <f>IF(B5="","",B5*PENGATURAN!$B$25)</f>
        <v/>
      </c>
      <c r="H5" s="15" t="str">
        <f t="shared" si="0"/>
        <v/>
      </c>
      <c r="I5" s="15" t="str">
        <f t="shared" si="1"/>
        <v/>
      </c>
      <c r="J5" s="14"/>
      <c r="K5" s="14"/>
      <c r="L5" s="15">
        <f t="shared" si="2"/>
        <v>0</v>
      </c>
      <c r="M5" s="14"/>
    </row>
    <row r="6" spans="1:13" x14ac:dyDescent="0.25">
      <c r="A6" s="14"/>
      <c r="B6" s="15" t="str">
        <f>IF(A6="","",SUMIF(PEMBAYARAN!B:B,A6,PEMBAYARAN!F:F))</f>
        <v/>
      </c>
      <c r="C6" s="15" t="str">
        <f>IF(B6="","",B6*PENGATURAN!$B$21)</f>
        <v/>
      </c>
      <c r="D6" s="15" t="str">
        <f>IF(B6="","",B6*PENGATURAN!$B$22)</f>
        <v/>
      </c>
      <c r="E6" s="15" t="str">
        <f>IF(B6="","",B6*PENGATURAN!$B$23)</f>
        <v/>
      </c>
      <c r="F6" s="15" t="str">
        <f>IF(B6="","",B6*PENGATURAN!$B$24)</f>
        <v/>
      </c>
      <c r="G6" s="15" t="str">
        <f>IF(B6="","",B6*PENGATURAN!$B$25)</f>
        <v/>
      </c>
      <c r="H6" s="15" t="str">
        <f t="shared" si="0"/>
        <v/>
      </c>
      <c r="I6" s="15" t="str">
        <f t="shared" si="1"/>
        <v/>
      </c>
      <c r="J6" s="14"/>
      <c r="K6" s="14"/>
      <c r="L6" s="15">
        <f t="shared" si="2"/>
        <v>0</v>
      </c>
      <c r="M6" s="14"/>
    </row>
    <row r="7" spans="1:13" x14ac:dyDescent="0.25">
      <c r="A7" s="14"/>
      <c r="B7" s="15" t="str">
        <f>IF(A7="","",SUMIF(PEMBAYARAN!B:B,A7,PEMBAYARAN!F:F))</f>
        <v/>
      </c>
      <c r="C7" s="15" t="str">
        <f>IF(B7="","",B7*PENGATURAN!$B$21)</f>
        <v/>
      </c>
      <c r="D7" s="15" t="str">
        <f>IF(B7="","",B7*PENGATURAN!$B$22)</f>
        <v/>
      </c>
      <c r="E7" s="15" t="str">
        <f>IF(B7="","",B7*PENGATURAN!$B$23)</f>
        <v/>
      </c>
      <c r="F7" s="15" t="str">
        <f>IF(B7="","",B7*PENGATURAN!$B$24)</f>
        <v/>
      </c>
      <c r="G7" s="15" t="str">
        <f>IF(B7="","",B7*PENGATURAN!$B$25)</f>
        <v/>
      </c>
      <c r="H7" s="15" t="str">
        <f t="shared" si="0"/>
        <v/>
      </c>
      <c r="I7" s="15" t="str">
        <f t="shared" si="1"/>
        <v/>
      </c>
      <c r="J7" s="14"/>
      <c r="K7" s="14"/>
      <c r="L7" s="15">
        <f t="shared" si="2"/>
        <v>0</v>
      </c>
      <c r="M7" s="14"/>
    </row>
    <row r="8" spans="1:13" x14ac:dyDescent="0.25">
      <c r="A8" s="14"/>
      <c r="B8" s="15" t="str">
        <f>IF(A8="","",SUMIF(PEMBAYARAN!B:B,A8,PEMBAYARAN!F:F))</f>
        <v/>
      </c>
      <c r="C8" s="15" t="str">
        <f>IF(B8="","",B8*PENGATURAN!$B$21)</f>
        <v/>
      </c>
      <c r="D8" s="15" t="str">
        <f>IF(B8="","",B8*PENGATURAN!$B$22)</f>
        <v/>
      </c>
      <c r="E8" s="15" t="str">
        <f>IF(B8="","",B8*PENGATURAN!$B$23)</f>
        <v/>
      </c>
      <c r="F8" s="15" t="str">
        <f>IF(B8="","",B8*PENGATURAN!$B$24)</f>
        <v/>
      </c>
      <c r="G8" s="15" t="str">
        <f>IF(B8="","",B8*PENGATURAN!$B$25)</f>
        <v/>
      </c>
      <c r="H8" s="15" t="str">
        <f t="shared" si="0"/>
        <v/>
      </c>
      <c r="I8" s="15" t="str">
        <f t="shared" si="1"/>
        <v/>
      </c>
      <c r="J8" s="14"/>
      <c r="K8" s="14"/>
      <c r="L8" s="15">
        <f t="shared" si="2"/>
        <v>0</v>
      </c>
      <c r="M8" s="14"/>
    </row>
    <row r="9" spans="1:13" x14ac:dyDescent="0.25">
      <c r="A9" s="14"/>
      <c r="B9" s="15" t="str">
        <f>IF(A9="","",SUMIF(PEMBAYARAN!B:B,A9,PEMBAYARAN!F:F))</f>
        <v/>
      </c>
      <c r="C9" s="15" t="str">
        <f>IF(B9="","",B9*PENGATURAN!$B$21)</f>
        <v/>
      </c>
      <c r="D9" s="15" t="str">
        <f>IF(B9="","",B9*PENGATURAN!$B$22)</f>
        <v/>
      </c>
      <c r="E9" s="15" t="str">
        <f>IF(B9="","",B9*PENGATURAN!$B$23)</f>
        <v/>
      </c>
      <c r="F9" s="15" t="str">
        <f>IF(B9="","",B9*PENGATURAN!$B$24)</f>
        <v/>
      </c>
      <c r="G9" s="15" t="str">
        <f>IF(B9="","",B9*PENGATURAN!$B$25)</f>
        <v/>
      </c>
      <c r="H9" s="15" t="str">
        <f t="shared" si="0"/>
        <v/>
      </c>
      <c r="I9" s="15" t="str">
        <f t="shared" si="1"/>
        <v/>
      </c>
      <c r="J9" s="14"/>
      <c r="K9" s="14"/>
      <c r="L9" s="15">
        <f t="shared" si="2"/>
        <v>0</v>
      </c>
      <c r="M9" s="14"/>
    </row>
    <row r="10" spans="1:13" x14ac:dyDescent="0.25">
      <c r="A10" s="14"/>
      <c r="B10" s="15" t="str">
        <f>IF(A10="","",SUMIF(PEMBAYARAN!B:B,A10,PEMBAYARAN!F:F))</f>
        <v/>
      </c>
      <c r="C10" s="15" t="str">
        <f>IF(B10="","",B10*PENGATURAN!$B$21)</f>
        <v/>
      </c>
      <c r="D10" s="15" t="str">
        <f>IF(B10="","",B10*PENGATURAN!$B$22)</f>
        <v/>
      </c>
      <c r="E10" s="15" t="str">
        <f>IF(B10="","",B10*PENGATURAN!$B$23)</f>
        <v/>
      </c>
      <c r="F10" s="15" t="str">
        <f>IF(B10="","",B10*PENGATURAN!$B$24)</f>
        <v/>
      </c>
      <c r="G10" s="15" t="str">
        <f>IF(B10="","",B10*PENGATURAN!$B$25)</f>
        <v/>
      </c>
      <c r="H10" s="15" t="str">
        <f t="shared" si="0"/>
        <v/>
      </c>
      <c r="I10" s="15" t="str">
        <f t="shared" si="1"/>
        <v/>
      </c>
      <c r="J10" s="14"/>
      <c r="K10" s="14"/>
      <c r="L10" s="15">
        <f t="shared" si="2"/>
        <v>0</v>
      </c>
      <c r="M10" s="14"/>
    </row>
    <row r="11" spans="1:13" x14ac:dyDescent="0.25">
      <c r="A11" s="14"/>
      <c r="B11" s="15" t="str">
        <f>IF(A11="","",SUMIF(PEMBAYARAN!B:B,A11,PEMBAYARAN!F:F))</f>
        <v/>
      </c>
      <c r="C11" s="15" t="str">
        <f>IF(B11="","",B11*PENGATURAN!$B$21)</f>
        <v/>
      </c>
      <c r="D11" s="15" t="str">
        <f>IF(B11="","",B11*PENGATURAN!$B$22)</f>
        <v/>
      </c>
      <c r="E11" s="15" t="str">
        <f>IF(B11="","",B11*PENGATURAN!$B$23)</f>
        <v/>
      </c>
      <c r="F11" s="15" t="str">
        <f>IF(B11="","",B11*PENGATURAN!$B$24)</f>
        <v/>
      </c>
      <c r="G11" s="15" t="str">
        <f>IF(B11="","",B11*PENGATURAN!$B$25)</f>
        <v/>
      </c>
      <c r="H11" s="15" t="str">
        <f t="shared" si="0"/>
        <v/>
      </c>
      <c r="I11" s="15" t="str">
        <f t="shared" si="1"/>
        <v/>
      </c>
      <c r="J11" s="14"/>
      <c r="K11" s="14"/>
      <c r="L11" s="15">
        <f t="shared" si="2"/>
        <v>0</v>
      </c>
      <c r="M11" s="14"/>
    </row>
    <row r="12" spans="1:13" x14ac:dyDescent="0.25">
      <c r="A12" s="14"/>
      <c r="B12" s="15" t="str">
        <f>IF(A12="","",SUMIF(PEMBAYARAN!B:B,A12,PEMBAYARAN!F:F))</f>
        <v/>
      </c>
      <c r="C12" s="15" t="str">
        <f>IF(B12="","",B12*PENGATURAN!$B$21)</f>
        <v/>
      </c>
      <c r="D12" s="15" t="str">
        <f>IF(B12="","",B12*PENGATURAN!$B$22)</f>
        <v/>
      </c>
      <c r="E12" s="15" t="str">
        <f>IF(B12="","",B12*PENGATURAN!$B$23)</f>
        <v/>
      </c>
      <c r="F12" s="15" t="str">
        <f>IF(B12="","",B12*PENGATURAN!$B$24)</f>
        <v/>
      </c>
      <c r="G12" s="15" t="str">
        <f>IF(B12="","",B12*PENGATURAN!$B$25)</f>
        <v/>
      </c>
      <c r="H12" s="15" t="str">
        <f t="shared" si="0"/>
        <v/>
      </c>
      <c r="I12" s="15" t="str">
        <f t="shared" si="1"/>
        <v/>
      </c>
      <c r="J12" s="14"/>
      <c r="K12" s="14"/>
      <c r="L12" s="15">
        <f t="shared" si="2"/>
        <v>0</v>
      </c>
      <c r="M12" s="14"/>
    </row>
    <row r="13" spans="1:13" x14ac:dyDescent="0.25">
      <c r="A13" s="14"/>
      <c r="B13" s="15" t="str">
        <f>IF(A13="","",SUMIF(PEMBAYARAN!B:B,A13,PEMBAYARAN!F:F))</f>
        <v/>
      </c>
      <c r="C13" s="15" t="str">
        <f>IF(B13="","",B13*PENGATURAN!$B$21)</f>
        <v/>
      </c>
      <c r="D13" s="15" t="str">
        <f>IF(B13="","",B13*PENGATURAN!$B$22)</f>
        <v/>
      </c>
      <c r="E13" s="15" t="str">
        <f>IF(B13="","",B13*PENGATURAN!$B$23)</f>
        <v/>
      </c>
      <c r="F13" s="15" t="str">
        <f>IF(B13="","",B13*PENGATURAN!$B$24)</f>
        <v/>
      </c>
      <c r="G13" s="15" t="str">
        <f>IF(B13="","",B13*PENGATURAN!$B$25)</f>
        <v/>
      </c>
      <c r="H13" s="15" t="str">
        <f t="shared" si="0"/>
        <v/>
      </c>
      <c r="I13" s="15" t="str">
        <f t="shared" si="1"/>
        <v/>
      </c>
      <c r="J13" s="14"/>
      <c r="K13" s="14"/>
      <c r="L13" s="15">
        <f t="shared" si="2"/>
        <v>0</v>
      </c>
      <c r="M13" s="14"/>
    </row>
    <row r="14" spans="1:13" x14ac:dyDescent="0.25">
      <c r="A14" s="14"/>
      <c r="B14" s="15" t="str">
        <f>IF(A14="","",SUMIF(PEMBAYARAN!B:B,A14,PEMBAYARAN!F:F))</f>
        <v/>
      </c>
      <c r="C14" s="15" t="str">
        <f>IF(B14="","",B14*PENGATURAN!$B$21)</f>
        <v/>
      </c>
      <c r="D14" s="15" t="str">
        <f>IF(B14="","",B14*PENGATURAN!$B$22)</f>
        <v/>
      </c>
      <c r="E14" s="15" t="str">
        <f>IF(B14="","",B14*PENGATURAN!$B$23)</f>
        <v/>
      </c>
      <c r="F14" s="15" t="str">
        <f>IF(B14="","",B14*PENGATURAN!$B$24)</f>
        <v/>
      </c>
      <c r="G14" s="15" t="str">
        <f>IF(B14="","",B14*PENGATURAN!$B$25)</f>
        <v/>
      </c>
      <c r="H14" s="15" t="str">
        <f t="shared" si="0"/>
        <v/>
      </c>
      <c r="I14" s="15" t="str">
        <f t="shared" si="1"/>
        <v/>
      </c>
      <c r="J14" s="14"/>
      <c r="K14" s="14"/>
      <c r="L14" s="15">
        <f t="shared" si="2"/>
        <v>0</v>
      </c>
      <c r="M14" s="14"/>
    </row>
    <row r="15" spans="1:13" x14ac:dyDescent="0.25">
      <c r="A15" s="14"/>
      <c r="B15" s="15" t="str">
        <f>IF(A15="","",SUMIF(PEMBAYARAN!B:B,A15,PEMBAYARAN!F:F))</f>
        <v/>
      </c>
      <c r="C15" s="15" t="str">
        <f>IF(B15="","",B15*PENGATURAN!$B$21)</f>
        <v/>
      </c>
      <c r="D15" s="15" t="str">
        <f>IF(B15="","",B15*PENGATURAN!$B$22)</f>
        <v/>
      </c>
      <c r="E15" s="15" t="str">
        <f>IF(B15="","",B15*PENGATURAN!$B$23)</f>
        <v/>
      </c>
      <c r="F15" s="15" t="str">
        <f>IF(B15="","",B15*PENGATURAN!$B$24)</f>
        <v/>
      </c>
      <c r="G15" s="15" t="str">
        <f>IF(B15="","",B15*PENGATURAN!$B$25)</f>
        <v/>
      </c>
      <c r="H15" s="15" t="str">
        <f t="shared" si="0"/>
        <v/>
      </c>
      <c r="I15" s="15" t="str">
        <f t="shared" si="1"/>
        <v/>
      </c>
      <c r="J15" s="14"/>
      <c r="K15" s="14"/>
      <c r="L15" s="15">
        <f t="shared" si="2"/>
        <v>0</v>
      </c>
      <c r="M15" s="14"/>
    </row>
    <row r="16" spans="1:13" x14ac:dyDescent="0.25">
      <c r="A16" s="14"/>
      <c r="B16" s="15" t="str">
        <f>IF(A16="","",SUMIF(PEMBAYARAN!B:B,A16,PEMBAYARAN!F:F))</f>
        <v/>
      </c>
      <c r="C16" s="15" t="str">
        <f>IF(B16="","",B16*PENGATURAN!$B$21)</f>
        <v/>
      </c>
      <c r="D16" s="15" t="str">
        <f>IF(B16="","",B16*PENGATURAN!$B$22)</f>
        <v/>
      </c>
      <c r="E16" s="15" t="str">
        <f>IF(B16="","",B16*PENGATURAN!$B$23)</f>
        <v/>
      </c>
      <c r="F16" s="15" t="str">
        <f>IF(B16="","",B16*PENGATURAN!$B$24)</f>
        <v/>
      </c>
      <c r="G16" s="15" t="str">
        <f>IF(B16="","",B16*PENGATURAN!$B$25)</f>
        <v/>
      </c>
      <c r="H16" s="15" t="str">
        <f t="shared" si="0"/>
        <v/>
      </c>
      <c r="I16" s="15" t="str">
        <f t="shared" si="1"/>
        <v/>
      </c>
      <c r="J16" s="14"/>
      <c r="K16" s="14"/>
      <c r="L16" s="15">
        <f t="shared" si="2"/>
        <v>0</v>
      </c>
      <c r="M16" s="14"/>
    </row>
    <row r="17" spans="1:13" x14ac:dyDescent="0.25">
      <c r="A17" s="14"/>
      <c r="B17" s="15" t="str">
        <f>IF(A17="","",SUMIF(PEMBAYARAN!B:B,A17,PEMBAYARAN!F:F))</f>
        <v/>
      </c>
      <c r="C17" s="15" t="str">
        <f>IF(B17="","",B17*PENGATURAN!$B$21)</f>
        <v/>
      </c>
      <c r="D17" s="15" t="str">
        <f>IF(B17="","",B17*PENGATURAN!$B$22)</f>
        <v/>
      </c>
      <c r="E17" s="15" t="str">
        <f>IF(B17="","",B17*PENGATURAN!$B$23)</f>
        <v/>
      </c>
      <c r="F17" s="15" t="str">
        <f>IF(B17="","",B17*PENGATURAN!$B$24)</f>
        <v/>
      </c>
      <c r="G17" s="15" t="str">
        <f>IF(B17="","",B17*PENGATURAN!$B$25)</f>
        <v/>
      </c>
      <c r="H17" s="15" t="str">
        <f t="shared" si="0"/>
        <v/>
      </c>
      <c r="I17" s="15" t="str">
        <f t="shared" si="1"/>
        <v/>
      </c>
      <c r="J17" s="14"/>
      <c r="K17" s="14"/>
      <c r="L17" s="15">
        <f t="shared" si="2"/>
        <v>0</v>
      </c>
      <c r="M17" s="14"/>
    </row>
    <row r="18" spans="1:13" x14ac:dyDescent="0.25">
      <c r="A18" s="14"/>
      <c r="B18" s="15" t="str">
        <f>IF(A18="","",SUMIF(PEMBAYARAN!B:B,A18,PEMBAYARAN!F:F))</f>
        <v/>
      </c>
      <c r="C18" s="15" t="str">
        <f>IF(B18="","",B18*PENGATURAN!$B$21)</f>
        <v/>
      </c>
      <c r="D18" s="15" t="str">
        <f>IF(B18="","",B18*PENGATURAN!$B$22)</f>
        <v/>
      </c>
      <c r="E18" s="15" t="str">
        <f>IF(B18="","",B18*PENGATURAN!$B$23)</f>
        <v/>
      </c>
      <c r="F18" s="15" t="str">
        <f>IF(B18="","",B18*PENGATURAN!$B$24)</f>
        <v/>
      </c>
      <c r="G18" s="15" t="str">
        <f>IF(B18="","",B18*PENGATURAN!$B$25)</f>
        <v/>
      </c>
      <c r="H18" s="15" t="str">
        <f t="shared" si="0"/>
        <v/>
      </c>
      <c r="I18" s="15" t="str">
        <f t="shared" si="1"/>
        <v/>
      </c>
      <c r="J18" s="14"/>
      <c r="K18" s="14"/>
      <c r="L18" s="15">
        <f t="shared" si="2"/>
        <v>0</v>
      </c>
      <c r="M18" s="14"/>
    </row>
    <row r="19" spans="1:13" x14ac:dyDescent="0.25">
      <c r="A19" s="14"/>
      <c r="B19" s="15" t="str">
        <f>IF(A19="","",SUMIF(PEMBAYARAN!B:B,A19,PEMBAYARAN!F:F))</f>
        <v/>
      </c>
      <c r="C19" s="15" t="str">
        <f>IF(B19="","",B19*PENGATURAN!$B$21)</f>
        <v/>
      </c>
      <c r="D19" s="15" t="str">
        <f>IF(B19="","",B19*PENGATURAN!$B$22)</f>
        <v/>
      </c>
      <c r="E19" s="15" t="str">
        <f>IF(B19="","",B19*PENGATURAN!$B$23)</f>
        <v/>
      </c>
      <c r="F19" s="15" t="str">
        <f>IF(B19="","",B19*PENGATURAN!$B$24)</f>
        <v/>
      </c>
      <c r="G19" s="15" t="str">
        <f>IF(B19="","",B19*PENGATURAN!$B$25)</f>
        <v/>
      </c>
      <c r="H19" s="15" t="str">
        <f t="shared" si="0"/>
        <v/>
      </c>
      <c r="I19" s="15" t="str">
        <f t="shared" si="1"/>
        <v/>
      </c>
      <c r="J19" s="14"/>
      <c r="K19" s="14"/>
      <c r="L19" s="15">
        <f t="shared" si="2"/>
        <v>0</v>
      </c>
      <c r="M19" s="14"/>
    </row>
    <row r="20" spans="1:13" x14ac:dyDescent="0.25">
      <c r="A20" s="14"/>
      <c r="B20" s="15" t="str">
        <f>IF(A20="","",SUMIF(PEMBAYARAN!B:B,A20,PEMBAYARAN!F:F))</f>
        <v/>
      </c>
      <c r="C20" s="15" t="str">
        <f>IF(B20="","",B20*PENGATURAN!$B$21)</f>
        <v/>
      </c>
      <c r="D20" s="15" t="str">
        <f>IF(B20="","",B20*PENGATURAN!$B$22)</f>
        <v/>
      </c>
      <c r="E20" s="15" t="str">
        <f>IF(B20="","",B20*PENGATURAN!$B$23)</f>
        <v/>
      </c>
      <c r="F20" s="15" t="str">
        <f>IF(B20="","",B20*PENGATURAN!$B$24)</f>
        <v/>
      </c>
      <c r="G20" s="15" t="str">
        <f>IF(B20="","",B20*PENGATURAN!$B$25)</f>
        <v/>
      </c>
      <c r="H20" s="15" t="str">
        <f t="shared" si="0"/>
        <v/>
      </c>
      <c r="I20" s="15" t="str">
        <f t="shared" si="1"/>
        <v/>
      </c>
      <c r="J20" s="14"/>
      <c r="K20" s="14"/>
      <c r="L20" s="15">
        <f t="shared" si="2"/>
        <v>0</v>
      </c>
      <c r="M20" s="14"/>
    </row>
    <row r="21" spans="1:13" x14ac:dyDescent="0.25">
      <c r="A21" s="14"/>
      <c r="B21" s="15" t="str">
        <f>IF(A21="","",SUMIF(PEMBAYARAN!B:B,A21,PEMBAYARAN!F:F))</f>
        <v/>
      </c>
      <c r="C21" s="15" t="str">
        <f>IF(B21="","",B21*PENGATURAN!$B$21)</f>
        <v/>
      </c>
      <c r="D21" s="15" t="str">
        <f>IF(B21="","",B21*PENGATURAN!$B$22)</f>
        <v/>
      </c>
      <c r="E21" s="15" t="str">
        <f>IF(B21="","",B21*PENGATURAN!$B$23)</f>
        <v/>
      </c>
      <c r="F21" s="15" t="str">
        <f>IF(B21="","",B21*PENGATURAN!$B$24)</f>
        <v/>
      </c>
      <c r="G21" s="15" t="str">
        <f>IF(B21="","",B21*PENGATURAN!$B$25)</f>
        <v/>
      </c>
      <c r="H21" s="15" t="str">
        <f t="shared" si="0"/>
        <v/>
      </c>
      <c r="I21" s="15" t="str">
        <f t="shared" si="1"/>
        <v/>
      </c>
      <c r="J21" s="14"/>
      <c r="K21" s="14"/>
      <c r="L21" s="15">
        <f t="shared" si="2"/>
        <v>0</v>
      </c>
      <c r="M21" s="14"/>
    </row>
    <row r="22" spans="1:13" x14ac:dyDescent="0.25">
      <c r="A22" s="14"/>
      <c r="B22" s="15" t="str">
        <f>IF(A22="","",SUMIF(PEMBAYARAN!B:B,A22,PEMBAYARAN!F:F))</f>
        <v/>
      </c>
      <c r="C22" s="15" t="str">
        <f>IF(B22="","",B22*PENGATURAN!$B$21)</f>
        <v/>
      </c>
      <c r="D22" s="15" t="str">
        <f>IF(B22="","",B22*PENGATURAN!$B$22)</f>
        <v/>
      </c>
      <c r="E22" s="15" t="str">
        <f>IF(B22="","",B22*PENGATURAN!$B$23)</f>
        <v/>
      </c>
      <c r="F22" s="15" t="str">
        <f>IF(B22="","",B22*PENGATURAN!$B$24)</f>
        <v/>
      </c>
      <c r="G22" s="15" t="str">
        <f>IF(B22="","",B22*PENGATURAN!$B$25)</f>
        <v/>
      </c>
      <c r="H22" s="15" t="str">
        <f t="shared" si="0"/>
        <v/>
      </c>
      <c r="I22" s="15" t="str">
        <f t="shared" si="1"/>
        <v/>
      </c>
      <c r="J22" s="14"/>
      <c r="K22" s="14"/>
      <c r="L22" s="15">
        <f t="shared" si="2"/>
        <v>0</v>
      </c>
      <c r="M22" s="14"/>
    </row>
    <row r="23" spans="1:13" x14ac:dyDescent="0.25">
      <c r="A23" s="14"/>
      <c r="B23" s="15" t="str">
        <f>IF(A23="","",SUMIF(PEMBAYARAN!B:B,A23,PEMBAYARAN!F:F))</f>
        <v/>
      </c>
      <c r="C23" s="15" t="str">
        <f>IF(B23="","",B23*PENGATURAN!$B$21)</f>
        <v/>
      </c>
      <c r="D23" s="15" t="str">
        <f>IF(B23="","",B23*PENGATURAN!$B$22)</f>
        <v/>
      </c>
      <c r="E23" s="15" t="str">
        <f>IF(B23="","",B23*PENGATURAN!$B$23)</f>
        <v/>
      </c>
      <c r="F23" s="15" t="str">
        <f>IF(B23="","",B23*PENGATURAN!$B$24)</f>
        <v/>
      </c>
      <c r="G23" s="15" t="str">
        <f>IF(B23="","",B23*PENGATURAN!$B$25)</f>
        <v/>
      </c>
      <c r="H23" s="15" t="str">
        <f t="shared" si="0"/>
        <v/>
      </c>
      <c r="I23" s="15" t="str">
        <f t="shared" si="1"/>
        <v/>
      </c>
      <c r="J23" s="14"/>
      <c r="K23" s="14"/>
      <c r="L23" s="15">
        <f t="shared" si="2"/>
        <v>0</v>
      </c>
      <c r="M23" s="14"/>
    </row>
    <row r="24" spans="1:13" x14ac:dyDescent="0.25">
      <c r="A24" s="14"/>
      <c r="B24" s="15" t="str">
        <f>IF(A24="","",SUMIF(PEMBAYARAN!B:B,A24,PEMBAYARAN!F:F))</f>
        <v/>
      </c>
      <c r="C24" s="15" t="str">
        <f>IF(B24="","",B24*PENGATURAN!$B$21)</f>
        <v/>
      </c>
      <c r="D24" s="15" t="str">
        <f>IF(B24="","",B24*PENGATURAN!$B$22)</f>
        <v/>
      </c>
      <c r="E24" s="15" t="str">
        <f>IF(B24="","",B24*PENGATURAN!$B$23)</f>
        <v/>
      </c>
      <c r="F24" s="15" t="str">
        <f>IF(B24="","",B24*PENGATURAN!$B$24)</f>
        <v/>
      </c>
      <c r="G24" s="15" t="str">
        <f>IF(B24="","",B24*PENGATURAN!$B$25)</f>
        <v/>
      </c>
      <c r="H24" s="15" t="str">
        <f t="shared" si="0"/>
        <v/>
      </c>
      <c r="I24" s="15" t="str">
        <f t="shared" si="1"/>
        <v/>
      </c>
      <c r="J24" s="14"/>
      <c r="K24" s="14"/>
      <c r="L24" s="15">
        <f t="shared" si="2"/>
        <v>0</v>
      </c>
      <c r="M24" s="14"/>
    </row>
    <row r="25" spans="1:13" x14ac:dyDescent="0.25">
      <c r="A25" s="14"/>
      <c r="B25" s="15" t="str">
        <f>IF(A25="","",SUMIF(PEMBAYARAN!B:B,A25,PEMBAYARAN!F:F))</f>
        <v/>
      </c>
      <c r="C25" s="15" t="str">
        <f>IF(B25="","",B25*PENGATURAN!$B$21)</f>
        <v/>
      </c>
      <c r="D25" s="15" t="str">
        <f>IF(B25="","",B25*PENGATURAN!$B$22)</f>
        <v/>
      </c>
      <c r="E25" s="15" t="str">
        <f>IF(B25="","",B25*PENGATURAN!$B$23)</f>
        <v/>
      </c>
      <c r="F25" s="15" t="str">
        <f>IF(B25="","",B25*PENGATURAN!$B$24)</f>
        <v/>
      </c>
      <c r="G25" s="15" t="str">
        <f>IF(B25="","",B25*PENGATURAN!$B$25)</f>
        <v/>
      </c>
      <c r="H25" s="15" t="str">
        <f t="shared" si="0"/>
        <v/>
      </c>
      <c r="I25" s="15" t="str">
        <f t="shared" si="1"/>
        <v/>
      </c>
      <c r="J25" s="14"/>
      <c r="K25" s="14"/>
      <c r="L25" s="15">
        <f t="shared" si="2"/>
        <v>0</v>
      </c>
      <c r="M25" s="14"/>
    </row>
    <row r="26" spans="1:13" x14ac:dyDescent="0.25">
      <c r="A26" s="14"/>
      <c r="B26" s="15" t="str">
        <f>IF(A26="","",SUMIF(PEMBAYARAN!B:B,A26,PEMBAYARAN!F:F))</f>
        <v/>
      </c>
      <c r="C26" s="15" t="str">
        <f>IF(B26="","",B26*PENGATURAN!$B$21)</f>
        <v/>
      </c>
      <c r="D26" s="15" t="str">
        <f>IF(B26="","",B26*PENGATURAN!$B$22)</f>
        <v/>
      </c>
      <c r="E26" s="15" t="str">
        <f>IF(B26="","",B26*PENGATURAN!$B$23)</f>
        <v/>
      </c>
      <c r="F26" s="15" t="str">
        <f>IF(B26="","",B26*PENGATURAN!$B$24)</f>
        <v/>
      </c>
      <c r="G26" s="15" t="str">
        <f>IF(B26="","",B26*PENGATURAN!$B$25)</f>
        <v/>
      </c>
      <c r="H26" s="15" t="str">
        <f t="shared" si="0"/>
        <v/>
      </c>
      <c r="I26" s="15" t="str">
        <f t="shared" si="1"/>
        <v/>
      </c>
      <c r="J26" s="14"/>
      <c r="K26" s="14"/>
      <c r="L26" s="15">
        <f t="shared" si="2"/>
        <v>0</v>
      </c>
      <c r="M26" s="14"/>
    </row>
    <row r="27" spans="1:13" x14ac:dyDescent="0.25">
      <c r="A27" s="14"/>
      <c r="B27" s="15" t="str">
        <f>IF(A27="","",SUMIF(PEMBAYARAN!B:B,A27,PEMBAYARAN!F:F))</f>
        <v/>
      </c>
      <c r="C27" s="15" t="str">
        <f>IF(B27="","",B27*PENGATURAN!$B$21)</f>
        <v/>
      </c>
      <c r="D27" s="15" t="str">
        <f>IF(B27="","",B27*PENGATURAN!$B$22)</f>
        <v/>
      </c>
      <c r="E27" s="15" t="str">
        <f>IF(B27="","",B27*PENGATURAN!$B$23)</f>
        <v/>
      </c>
      <c r="F27" s="15" t="str">
        <f>IF(B27="","",B27*PENGATURAN!$B$24)</f>
        <v/>
      </c>
      <c r="G27" s="15" t="str">
        <f>IF(B27="","",B27*PENGATURAN!$B$25)</f>
        <v/>
      </c>
      <c r="H27" s="15" t="str">
        <f t="shared" si="0"/>
        <v/>
      </c>
      <c r="I27" s="15" t="str">
        <f t="shared" si="1"/>
        <v/>
      </c>
      <c r="J27" s="14"/>
      <c r="K27" s="14"/>
      <c r="L27" s="15">
        <f t="shared" si="2"/>
        <v>0</v>
      </c>
      <c r="M27" s="14"/>
    </row>
    <row r="28" spans="1:13" x14ac:dyDescent="0.25">
      <c r="A28" s="14"/>
      <c r="B28" s="15" t="str">
        <f>IF(A28="","",SUMIF(PEMBAYARAN!B:B,A28,PEMBAYARAN!F:F))</f>
        <v/>
      </c>
      <c r="C28" s="15" t="str">
        <f>IF(B28="","",B28*PENGATURAN!$B$21)</f>
        <v/>
      </c>
      <c r="D28" s="15" t="str">
        <f>IF(B28="","",B28*PENGATURAN!$B$22)</f>
        <v/>
      </c>
      <c r="E28" s="15" t="str">
        <f>IF(B28="","",B28*PENGATURAN!$B$23)</f>
        <v/>
      </c>
      <c r="F28" s="15" t="str">
        <f>IF(B28="","",B28*PENGATURAN!$B$24)</f>
        <v/>
      </c>
      <c r="G28" s="15" t="str">
        <f>IF(B28="","",B28*PENGATURAN!$B$25)</f>
        <v/>
      </c>
      <c r="H28" s="15" t="str">
        <f t="shared" si="0"/>
        <v/>
      </c>
      <c r="I28" s="15" t="str">
        <f t="shared" si="1"/>
        <v/>
      </c>
      <c r="J28" s="14"/>
      <c r="K28" s="14"/>
      <c r="L28" s="15">
        <f t="shared" si="2"/>
        <v>0</v>
      </c>
      <c r="M28" s="14"/>
    </row>
    <row r="29" spans="1:13" x14ac:dyDescent="0.25">
      <c r="A29" s="14"/>
      <c r="B29" s="15" t="str">
        <f>IF(A29="","",SUMIF(PEMBAYARAN!B:B,A29,PEMBAYARAN!F:F))</f>
        <v/>
      </c>
      <c r="C29" s="15" t="str">
        <f>IF(B29="","",B29*PENGATURAN!$B$21)</f>
        <v/>
      </c>
      <c r="D29" s="15" t="str">
        <f>IF(B29="","",B29*PENGATURAN!$B$22)</f>
        <v/>
      </c>
      <c r="E29" s="15" t="str">
        <f>IF(B29="","",B29*PENGATURAN!$B$23)</f>
        <v/>
      </c>
      <c r="F29" s="15" t="str">
        <f>IF(B29="","",B29*PENGATURAN!$B$24)</f>
        <v/>
      </c>
      <c r="G29" s="15" t="str">
        <f>IF(B29="","",B29*PENGATURAN!$B$25)</f>
        <v/>
      </c>
      <c r="H29" s="15" t="str">
        <f t="shared" si="0"/>
        <v/>
      </c>
      <c r="I29" s="15" t="str">
        <f t="shared" si="1"/>
        <v/>
      </c>
      <c r="J29" s="14"/>
      <c r="K29" s="14"/>
      <c r="L29" s="15">
        <f t="shared" si="2"/>
        <v>0</v>
      </c>
      <c r="M29" s="14"/>
    </row>
    <row r="30" spans="1:13" x14ac:dyDescent="0.25">
      <c r="A30" s="14"/>
      <c r="B30" s="15" t="str">
        <f>IF(A30="","",SUMIF(PEMBAYARAN!B:B,A30,PEMBAYARAN!F:F))</f>
        <v/>
      </c>
      <c r="C30" s="15" t="str">
        <f>IF(B30="","",B30*PENGATURAN!$B$21)</f>
        <v/>
      </c>
      <c r="D30" s="15" t="str">
        <f>IF(B30="","",B30*PENGATURAN!$B$22)</f>
        <v/>
      </c>
      <c r="E30" s="15" t="str">
        <f>IF(B30="","",B30*PENGATURAN!$B$23)</f>
        <v/>
      </c>
      <c r="F30" s="15" t="str">
        <f>IF(B30="","",B30*PENGATURAN!$B$24)</f>
        <v/>
      </c>
      <c r="G30" s="15" t="str">
        <f>IF(B30="","",B30*PENGATURAN!$B$25)</f>
        <v/>
      </c>
      <c r="H30" s="15" t="str">
        <f t="shared" si="0"/>
        <v/>
      </c>
      <c r="I30" s="15" t="str">
        <f t="shared" si="1"/>
        <v/>
      </c>
      <c r="J30" s="14"/>
      <c r="K30" s="14"/>
      <c r="L30" s="15">
        <f t="shared" si="2"/>
        <v>0</v>
      </c>
      <c r="M30" s="14"/>
    </row>
    <row r="31" spans="1:13" x14ac:dyDescent="0.25">
      <c r="A31" s="14"/>
      <c r="B31" s="15" t="str">
        <f>IF(A31="","",SUMIF(PEMBAYARAN!B:B,A31,PEMBAYARAN!F:F))</f>
        <v/>
      </c>
      <c r="C31" s="15" t="str">
        <f>IF(B31="","",B31*PENGATURAN!$B$21)</f>
        <v/>
      </c>
      <c r="D31" s="15" t="str">
        <f>IF(B31="","",B31*PENGATURAN!$B$22)</f>
        <v/>
      </c>
      <c r="E31" s="15" t="str">
        <f>IF(B31="","",B31*PENGATURAN!$B$23)</f>
        <v/>
      </c>
      <c r="F31" s="15" t="str">
        <f>IF(B31="","",B31*PENGATURAN!$B$24)</f>
        <v/>
      </c>
      <c r="G31" s="15" t="str">
        <f>IF(B31="","",B31*PENGATURAN!$B$25)</f>
        <v/>
      </c>
      <c r="H31" s="15" t="str">
        <f t="shared" si="0"/>
        <v/>
      </c>
      <c r="I31" s="15" t="str">
        <f t="shared" si="1"/>
        <v/>
      </c>
      <c r="J31" s="14"/>
      <c r="K31" s="14"/>
      <c r="L31" s="15">
        <f t="shared" si="2"/>
        <v>0</v>
      </c>
      <c r="M31" s="14"/>
    </row>
    <row r="32" spans="1:13" x14ac:dyDescent="0.25">
      <c r="A32" s="14"/>
      <c r="B32" s="15" t="str">
        <f>IF(A32="","",SUMIF(PEMBAYARAN!B:B,A32,PEMBAYARAN!F:F))</f>
        <v/>
      </c>
      <c r="C32" s="15" t="str">
        <f>IF(B32="","",B32*PENGATURAN!$B$21)</f>
        <v/>
      </c>
      <c r="D32" s="15" t="str">
        <f>IF(B32="","",B32*PENGATURAN!$B$22)</f>
        <v/>
      </c>
      <c r="E32" s="15" t="str">
        <f>IF(B32="","",B32*PENGATURAN!$B$23)</f>
        <v/>
      </c>
      <c r="F32" s="15" t="str">
        <f>IF(B32="","",B32*PENGATURAN!$B$24)</f>
        <v/>
      </c>
      <c r="G32" s="15" t="str">
        <f>IF(B32="","",B32*PENGATURAN!$B$25)</f>
        <v/>
      </c>
      <c r="H32" s="15" t="str">
        <f t="shared" si="0"/>
        <v/>
      </c>
      <c r="I32" s="15" t="str">
        <f t="shared" si="1"/>
        <v/>
      </c>
      <c r="J32" s="14"/>
      <c r="K32" s="14"/>
      <c r="L32" s="15">
        <f t="shared" si="2"/>
        <v>0</v>
      </c>
      <c r="M32" s="14"/>
    </row>
    <row r="33" spans="1:13" x14ac:dyDescent="0.25">
      <c r="A33" s="14"/>
      <c r="B33" s="15" t="str">
        <f>IF(A33="","",SUMIF(PEMBAYARAN!B:B,A33,PEMBAYARAN!F:F))</f>
        <v/>
      </c>
      <c r="C33" s="15" t="str">
        <f>IF(B33="","",B33*PENGATURAN!$B$21)</f>
        <v/>
      </c>
      <c r="D33" s="15" t="str">
        <f>IF(B33="","",B33*PENGATURAN!$B$22)</f>
        <v/>
      </c>
      <c r="E33" s="15" t="str">
        <f>IF(B33="","",B33*PENGATURAN!$B$23)</f>
        <v/>
      </c>
      <c r="F33" s="15" t="str">
        <f>IF(B33="","",B33*PENGATURAN!$B$24)</f>
        <v/>
      </c>
      <c r="G33" s="15" t="str">
        <f>IF(B33="","",B33*PENGATURAN!$B$25)</f>
        <v/>
      </c>
      <c r="H33" s="15" t="str">
        <f t="shared" si="0"/>
        <v/>
      </c>
      <c r="I33" s="15" t="str">
        <f t="shared" si="1"/>
        <v/>
      </c>
      <c r="J33" s="14"/>
      <c r="K33" s="14"/>
      <c r="L33" s="15">
        <f t="shared" si="2"/>
        <v>0</v>
      </c>
      <c r="M33" s="14"/>
    </row>
    <row r="34" spans="1:13" x14ac:dyDescent="0.25">
      <c r="A34" s="14"/>
      <c r="B34" s="15" t="str">
        <f>IF(A34="","",SUMIF(PEMBAYARAN!B:B,A34,PEMBAYARAN!F:F))</f>
        <v/>
      </c>
      <c r="C34" s="15" t="str">
        <f>IF(B34="","",B34*PENGATURAN!$B$21)</f>
        <v/>
      </c>
      <c r="D34" s="15" t="str">
        <f>IF(B34="","",B34*PENGATURAN!$B$22)</f>
        <v/>
      </c>
      <c r="E34" s="15" t="str">
        <f>IF(B34="","",B34*PENGATURAN!$B$23)</f>
        <v/>
      </c>
      <c r="F34" s="15" t="str">
        <f>IF(B34="","",B34*PENGATURAN!$B$24)</f>
        <v/>
      </c>
      <c r="G34" s="15" t="str">
        <f>IF(B34="","",B34*PENGATURAN!$B$25)</f>
        <v/>
      </c>
      <c r="H34" s="15" t="str">
        <f t="shared" si="0"/>
        <v/>
      </c>
      <c r="I34" s="15" t="str">
        <f t="shared" si="1"/>
        <v/>
      </c>
      <c r="J34" s="14"/>
      <c r="K34" s="14"/>
      <c r="L34" s="15">
        <f t="shared" si="2"/>
        <v>0</v>
      </c>
      <c r="M34" s="14"/>
    </row>
    <row r="35" spans="1:13" x14ac:dyDescent="0.25">
      <c r="A35" s="14"/>
      <c r="B35" s="15" t="str">
        <f>IF(A35="","",SUMIF(PEMBAYARAN!B:B,A35,PEMBAYARAN!F:F))</f>
        <v/>
      </c>
      <c r="C35" s="15" t="str">
        <f>IF(B35="","",B35*PENGATURAN!$B$21)</f>
        <v/>
      </c>
      <c r="D35" s="15" t="str">
        <f>IF(B35="","",B35*PENGATURAN!$B$22)</f>
        <v/>
      </c>
      <c r="E35" s="15" t="str">
        <f>IF(B35="","",B35*PENGATURAN!$B$23)</f>
        <v/>
      </c>
      <c r="F35" s="15" t="str">
        <f>IF(B35="","",B35*PENGATURAN!$B$24)</f>
        <v/>
      </c>
      <c r="G35" s="15" t="str">
        <f>IF(B35="","",B35*PENGATURAN!$B$25)</f>
        <v/>
      </c>
      <c r="H35" s="15" t="str">
        <f t="shared" si="0"/>
        <v/>
      </c>
      <c r="I35" s="15" t="str">
        <f t="shared" si="1"/>
        <v/>
      </c>
      <c r="J35" s="14"/>
      <c r="K35" s="14"/>
      <c r="L35" s="15">
        <f t="shared" si="2"/>
        <v>0</v>
      </c>
      <c r="M35" s="14"/>
    </row>
    <row r="36" spans="1:13" x14ac:dyDescent="0.25">
      <c r="A36" s="14"/>
      <c r="B36" s="15" t="str">
        <f>IF(A36="","",SUMIF(PEMBAYARAN!B:B,A36,PEMBAYARAN!F:F))</f>
        <v/>
      </c>
      <c r="C36" s="15" t="str">
        <f>IF(B36="","",B36*PENGATURAN!$B$21)</f>
        <v/>
      </c>
      <c r="D36" s="15" t="str">
        <f>IF(B36="","",B36*PENGATURAN!$B$22)</f>
        <v/>
      </c>
      <c r="E36" s="15" t="str">
        <f>IF(B36="","",B36*PENGATURAN!$B$23)</f>
        <v/>
      </c>
      <c r="F36" s="15" t="str">
        <f>IF(B36="","",B36*PENGATURAN!$B$24)</f>
        <v/>
      </c>
      <c r="G36" s="15" t="str">
        <f>IF(B36="","",B36*PENGATURAN!$B$25)</f>
        <v/>
      </c>
      <c r="H36" s="15" t="str">
        <f t="shared" ref="H36:H67" si="3">IF(B36="","",SUM(C36:G36))</f>
        <v/>
      </c>
      <c r="I36" s="15" t="str">
        <f t="shared" ref="I36:I67" si="4">IF(B36="","",B36-H36)</f>
        <v/>
      </c>
      <c r="J36" s="14"/>
      <c r="K36" s="14"/>
      <c r="L36" s="15">
        <f t="shared" ref="L36:L67" si="5">IF(OR(J36&lt;&gt;"Lunas",K36&lt;&gt;"Tercukupi"),0,I36)</f>
        <v>0</v>
      </c>
      <c r="M36" s="14"/>
    </row>
    <row r="37" spans="1:13" x14ac:dyDescent="0.25">
      <c r="A37" s="14"/>
      <c r="B37" s="15" t="str">
        <f>IF(A37="","",SUMIF(PEMBAYARAN!B:B,A37,PEMBAYARAN!F:F))</f>
        <v/>
      </c>
      <c r="C37" s="15" t="str">
        <f>IF(B37="","",B37*PENGATURAN!$B$21)</f>
        <v/>
      </c>
      <c r="D37" s="15" t="str">
        <f>IF(B37="","",B37*PENGATURAN!$B$22)</f>
        <v/>
      </c>
      <c r="E37" s="15" t="str">
        <f>IF(B37="","",B37*PENGATURAN!$B$23)</f>
        <v/>
      </c>
      <c r="F37" s="15" t="str">
        <f>IF(B37="","",B37*PENGATURAN!$B$24)</f>
        <v/>
      </c>
      <c r="G37" s="15" t="str">
        <f>IF(B37="","",B37*PENGATURAN!$B$25)</f>
        <v/>
      </c>
      <c r="H37" s="15" t="str">
        <f t="shared" si="3"/>
        <v/>
      </c>
      <c r="I37" s="15" t="str">
        <f t="shared" si="4"/>
        <v/>
      </c>
      <c r="J37" s="14"/>
      <c r="K37" s="14"/>
      <c r="L37" s="15">
        <f t="shared" si="5"/>
        <v>0</v>
      </c>
      <c r="M37" s="14"/>
    </row>
    <row r="38" spans="1:13" x14ac:dyDescent="0.25">
      <c r="A38" s="14"/>
      <c r="B38" s="15" t="str">
        <f>IF(A38="","",SUMIF(PEMBAYARAN!B:B,A38,PEMBAYARAN!F:F))</f>
        <v/>
      </c>
      <c r="C38" s="15" t="str">
        <f>IF(B38="","",B38*PENGATURAN!$B$21)</f>
        <v/>
      </c>
      <c r="D38" s="15" t="str">
        <f>IF(B38="","",B38*PENGATURAN!$B$22)</f>
        <v/>
      </c>
      <c r="E38" s="15" t="str">
        <f>IF(B38="","",B38*PENGATURAN!$B$23)</f>
        <v/>
      </c>
      <c r="F38" s="15" t="str">
        <f>IF(B38="","",B38*PENGATURAN!$B$24)</f>
        <v/>
      </c>
      <c r="G38" s="15" t="str">
        <f>IF(B38="","",B38*PENGATURAN!$B$25)</f>
        <v/>
      </c>
      <c r="H38" s="15" t="str">
        <f t="shared" si="3"/>
        <v/>
      </c>
      <c r="I38" s="15" t="str">
        <f t="shared" si="4"/>
        <v/>
      </c>
      <c r="J38" s="14"/>
      <c r="K38" s="14"/>
      <c r="L38" s="15">
        <f t="shared" si="5"/>
        <v>0</v>
      </c>
      <c r="M38" s="14"/>
    </row>
    <row r="39" spans="1:13" x14ac:dyDescent="0.25">
      <c r="A39" s="14"/>
      <c r="B39" s="15" t="str">
        <f>IF(A39="","",SUMIF(PEMBAYARAN!B:B,A39,PEMBAYARAN!F:F))</f>
        <v/>
      </c>
      <c r="C39" s="15" t="str">
        <f>IF(B39="","",B39*PENGATURAN!$B$21)</f>
        <v/>
      </c>
      <c r="D39" s="15" t="str">
        <f>IF(B39="","",B39*PENGATURAN!$B$22)</f>
        <v/>
      </c>
      <c r="E39" s="15" t="str">
        <f>IF(B39="","",B39*PENGATURAN!$B$23)</f>
        <v/>
      </c>
      <c r="F39" s="15" t="str">
        <f>IF(B39="","",B39*PENGATURAN!$B$24)</f>
        <v/>
      </c>
      <c r="G39" s="15" t="str">
        <f>IF(B39="","",B39*PENGATURAN!$B$25)</f>
        <v/>
      </c>
      <c r="H39" s="15" t="str">
        <f t="shared" si="3"/>
        <v/>
      </c>
      <c r="I39" s="15" t="str">
        <f t="shared" si="4"/>
        <v/>
      </c>
      <c r="J39" s="14"/>
      <c r="K39" s="14"/>
      <c r="L39" s="15">
        <f t="shared" si="5"/>
        <v>0</v>
      </c>
      <c r="M39" s="14"/>
    </row>
    <row r="40" spans="1:13" x14ac:dyDescent="0.25">
      <c r="A40" s="14"/>
      <c r="B40" s="15" t="str">
        <f>IF(A40="","",SUMIF(PEMBAYARAN!B:B,A40,PEMBAYARAN!F:F))</f>
        <v/>
      </c>
      <c r="C40" s="15" t="str">
        <f>IF(B40="","",B40*PENGATURAN!$B$21)</f>
        <v/>
      </c>
      <c r="D40" s="15" t="str">
        <f>IF(B40="","",B40*PENGATURAN!$B$22)</f>
        <v/>
      </c>
      <c r="E40" s="15" t="str">
        <f>IF(B40="","",B40*PENGATURAN!$B$23)</f>
        <v/>
      </c>
      <c r="F40" s="15" t="str">
        <f>IF(B40="","",B40*PENGATURAN!$B$24)</f>
        <v/>
      </c>
      <c r="G40" s="15" t="str">
        <f>IF(B40="","",B40*PENGATURAN!$B$25)</f>
        <v/>
      </c>
      <c r="H40" s="15" t="str">
        <f t="shared" si="3"/>
        <v/>
      </c>
      <c r="I40" s="15" t="str">
        <f t="shared" si="4"/>
        <v/>
      </c>
      <c r="J40" s="14"/>
      <c r="K40" s="14"/>
      <c r="L40" s="15">
        <f t="shared" si="5"/>
        <v>0</v>
      </c>
      <c r="M40" s="14"/>
    </row>
    <row r="41" spans="1:13" x14ac:dyDescent="0.25">
      <c r="A41" s="14"/>
      <c r="B41" s="15" t="str">
        <f>IF(A41="","",SUMIF(PEMBAYARAN!B:B,A41,PEMBAYARAN!F:F))</f>
        <v/>
      </c>
      <c r="C41" s="15" t="str">
        <f>IF(B41="","",B41*PENGATURAN!$B$21)</f>
        <v/>
      </c>
      <c r="D41" s="15" t="str">
        <f>IF(B41="","",B41*PENGATURAN!$B$22)</f>
        <v/>
      </c>
      <c r="E41" s="15" t="str">
        <f>IF(B41="","",B41*PENGATURAN!$B$23)</f>
        <v/>
      </c>
      <c r="F41" s="15" t="str">
        <f>IF(B41="","",B41*PENGATURAN!$B$24)</f>
        <v/>
      </c>
      <c r="G41" s="15" t="str">
        <f>IF(B41="","",B41*PENGATURAN!$B$25)</f>
        <v/>
      </c>
      <c r="H41" s="15" t="str">
        <f t="shared" si="3"/>
        <v/>
      </c>
      <c r="I41" s="15" t="str">
        <f t="shared" si="4"/>
        <v/>
      </c>
      <c r="J41" s="14"/>
      <c r="K41" s="14"/>
      <c r="L41" s="15">
        <f t="shared" si="5"/>
        <v>0</v>
      </c>
      <c r="M41" s="14"/>
    </row>
    <row r="42" spans="1:13" x14ac:dyDescent="0.25">
      <c r="A42" s="14"/>
      <c r="B42" s="15" t="str">
        <f>IF(A42="","",SUMIF(PEMBAYARAN!B:B,A42,PEMBAYARAN!F:F))</f>
        <v/>
      </c>
      <c r="C42" s="15" t="str">
        <f>IF(B42="","",B42*PENGATURAN!$B$21)</f>
        <v/>
      </c>
      <c r="D42" s="15" t="str">
        <f>IF(B42="","",B42*PENGATURAN!$B$22)</f>
        <v/>
      </c>
      <c r="E42" s="15" t="str">
        <f>IF(B42="","",B42*PENGATURAN!$B$23)</f>
        <v/>
      </c>
      <c r="F42" s="15" t="str">
        <f>IF(B42="","",B42*PENGATURAN!$B$24)</f>
        <v/>
      </c>
      <c r="G42" s="15" t="str">
        <f>IF(B42="","",B42*PENGATURAN!$B$25)</f>
        <v/>
      </c>
      <c r="H42" s="15" t="str">
        <f t="shared" si="3"/>
        <v/>
      </c>
      <c r="I42" s="15" t="str">
        <f t="shared" si="4"/>
        <v/>
      </c>
      <c r="J42" s="14"/>
      <c r="K42" s="14"/>
      <c r="L42" s="15">
        <f t="shared" si="5"/>
        <v>0</v>
      </c>
      <c r="M42" s="14"/>
    </row>
    <row r="43" spans="1:13" x14ac:dyDescent="0.25">
      <c r="A43" s="14"/>
      <c r="B43" s="15" t="str">
        <f>IF(A43="","",SUMIF(PEMBAYARAN!B:B,A43,PEMBAYARAN!F:F))</f>
        <v/>
      </c>
      <c r="C43" s="15" t="str">
        <f>IF(B43="","",B43*PENGATURAN!$B$21)</f>
        <v/>
      </c>
      <c r="D43" s="15" t="str">
        <f>IF(B43="","",B43*PENGATURAN!$B$22)</f>
        <v/>
      </c>
      <c r="E43" s="15" t="str">
        <f>IF(B43="","",B43*PENGATURAN!$B$23)</f>
        <v/>
      </c>
      <c r="F43" s="15" t="str">
        <f>IF(B43="","",B43*PENGATURAN!$B$24)</f>
        <v/>
      </c>
      <c r="G43" s="15" t="str">
        <f>IF(B43="","",B43*PENGATURAN!$B$25)</f>
        <v/>
      </c>
      <c r="H43" s="15" t="str">
        <f t="shared" si="3"/>
        <v/>
      </c>
      <c r="I43" s="15" t="str">
        <f t="shared" si="4"/>
        <v/>
      </c>
      <c r="J43" s="14"/>
      <c r="K43" s="14"/>
      <c r="L43" s="15">
        <f t="shared" si="5"/>
        <v>0</v>
      </c>
      <c r="M43" s="14"/>
    </row>
    <row r="44" spans="1:13" x14ac:dyDescent="0.25">
      <c r="A44" s="14"/>
      <c r="B44" s="15" t="str">
        <f>IF(A44="","",SUMIF(PEMBAYARAN!B:B,A44,PEMBAYARAN!F:F))</f>
        <v/>
      </c>
      <c r="C44" s="15" t="str">
        <f>IF(B44="","",B44*PENGATURAN!$B$21)</f>
        <v/>
      </c>
      <c r="D44" s="15" t="str">
        <f>IF(B44="","",B44*PENGATURAN!$B$22)</f>
        <v/>
      </c>
      <c r="E44" s="15" t="str">
        <f>IF(B44="","",B44*PENGATURAN!$B$23)</f>
        <v/>
      </c>
      <c r="F44" s="15" t="str">
        <f>IF(B44="","",B44*PENGATURAN!$B$24)</f>
        <v/>
      </c>
      <c r="G44" s="15" t="str">
        <f>IF(B44="","",B44*PENGATURAN!$B$25)</f>
        <v/>
      </c>
      <c r="H44" s="15" t="str">
        <f t="shared" si="3"/>
        <v/>
      </c>
      <c r="I44" s="15" t="str">
        <f t="shared" si="4"/>
        <v/>
      </c>
      <c r="J44" s="14"/>
      <c r="K44" s="14"/>
      <c r="L44" s="15">
        <f t="shared" si="5"/>
        <v>0</v>
      </c>
      <c r="M44" s="14"/>
    </row>
    <row r="45" spans="1:13" x14ac:dyDescent="0.25">
      <c r="A45" s="14"/>
      <c r="B45" s="15" t="str">
        <f>IF(A45="","",SUMIF(PEMBAYARAN!B:B,A45,PEMBAYARAN!F:F))</f>
        <v/>
      </c>
      <c r="C45" s="15" t="str">
        <f>IF(B45="","",B45*PENGATURAN!$B$21)</f>
        <v/>
      </c>
      <c r="D45" s="15" t="str">
        <f>IF(B45="","",B45*PENGATURAN!$B$22)</f>
        <v/>
      </c>
      <c r="E45" s="15" t="str">
        <f>IF(B45="","",B45*PENGATURAN!$B$23)</f>
        <v/>
      </c>
      <c r="F45" s="15" t="str">
        <f>IF(B45="","",B45*PENGATURAN!$B$24)</f>
        <v/>
      </c>
      <c r="G45" s="15" t="str">
        <f>IF(B45="","",B45*PENGATURAN!$B$25)</f>
        <v/>
      </c>
      <c r="H45" s="15" t="str">
        <f t="shared" si="3"/>
        <v/>
      </c>
      <c r="I45" s="15" t="str">
        <f t="shared" si="4"/>
        <v/>
      </c>
      <c r="J45" s="14"/>
      <c r="K45" s="14"/>
      <c r="L45" s="15">
        <f t="shared" si="5"/>
        <v>0</v>
      </c>
      <c r="M45" s="14"/>
    </row>
    <row r="46" spans="1:13" x14ac:dyDescent="0.25">
      <c r="A46" s="14"/>
      <c r="B46" s="15" t="str">
        <f>IF(A46="","",SUMIF(PEMBAYARAN!B:B,A46,PEMBAYARAN!F:F))</f>
        <v/>
      </c>
      <c r="C46" s="15" t="str">
        <f>IF(B46="","",B46*PENGATURAN!$B$21)</f>
        <v/>
      </c>
      <c r="D46" s="15" t="str">
        <f>IF(B46="","",B46*PENGATURAN!$B$22)</f>
        <v/>
      </c>
      <c r="E46" s="15" t="str">
        <f>IF(B46="","",B46*PENGATURAN!$B$23)</f>
        <v/>
      </c>
      <c r="F46" s="15" t="str">
        <f>IF(B46="","",B46*PENGATURAN!$B$24)</f>
        <v/>
      </c>
      <c r="G46" s="15" t="str">
        <f>IF(B46="","",B46*PENGATURAN!$B$25)</f>
        <v/>
      </c>
      <c r="H46" s="15" t="str">
        <f t="shared" si="3"/>
        <v/>
      </c>
      <c r="I46" s="15" t="str">
        <f t="shared" si="4"/>
        <v/>
      </c>
      <c r="J46" s="14"/>
      <c r="K46" s="14"/>
      <c r="L46" s="15">
        <f t="shared" si="5"/>
        <v>0</v>
      </c>
      <c r="M46" s="14"/>
    </row>
    <row r="47" spans="1:13" x14ac:dyDescent="0.25">
      <c r="A47" s="14"/>
      <c r="B47" s="15" t="str">
        <f>IF(A47="","",SUMIF(PEMBAYARAN!B:B,A47,PEMBAYARAN!F:F))</f>
        <v/>
      </c>
      <c r="C47" s="15" t="str">
        <f>IF(B47="","",B47*PENGATURAN!$B$21)</f>
        <v/>
      </c>
      <c r="D47" s="15" t="str">
        <f>IF(B47="","",B47*PENGATURAN!$B$22)</f>
        <v/>
      </c>
      <c r="E47" s="15" t="str">
        <f>IF(B47="","",B47*PENGATURAN!$B$23)</f>
        <v/>
      </c>
      <c r="F47" s="15" t="str">
        <f>IF(B47="","",B47*PENGATURAN!$B$24)</f>
        <v/>
      </c>
      <c r="G47" s="15" t="str">
        <f>IF(B47="","",B47*PENGATURAN!$B$25)</f>
        <v/>
      </c>
      <c r="H47" s="15" t="str">
        <f t="shared" si="3"/>
        <v/>
      </c>
      <c r="I47" s="15" t="str">
        <f t="shared" si="4"/>
        <v/>
      </c>
      <c r="J47" s="14"/>
      <c r="K47" s="14"/>
      <c r="L47" s="15">
        <f t="shared" si="5"/>
        <v>0</v>
      </c>
      <c r="M47" s="14"/>
    </row>
    <row r="48" spans="1:13" x14ac:dyDescent="0.25">
      <c r="A48" s="14"/>
      <c r="B48" s="15" t="str">
        <f>IF(A48="","",SUMIF(PEMBAYARAN!B:B,A48,PEMBAYARAN!F:F))</f>
        <v/>
      </c>
      <c r="C48" s="15" t="str">
        <f>IF(B48="","",B48*PENGATURAN!$B$21)</f>
        <v/>
      </c>
      <c r="D48" s="15" t="str">
        <f>IF(B48="","",B48*PENGATURAN!$B$22)</f>
        <v/>
      </c>
      <c r="E48" s="15" t="str">
        <f>IF(B48="","",B48*PENGATURAN!$B$23)</f>
        <v/>
      </c>
      <c r="F48" s="15" t="str">
        <f>IF(B48="","",B48*PENGATURAN!$B$24)</f>
        <v/>
      </c>
      <c r="G48" s="15" t="str">
        <f>IF(B48="","",B48*PENGATURAN!$B$25)</f>
        <v/>
      </c>
      <c r="H48" s="15" t="str">
        <f t="shared" si="3"/>
        <v/>
      </c>
      <c r="I48" s="15" t="str">
        <f t="shared" si="4"/>
        <v/>
      </c>
      <c r="J48" s="14"/>
      <c r="K48" s="14"/>
      <c r="L48" s="15">
        <f t="shared" si="5"/>
        <v>0</v>
      </c>
      <c r="M48" s="14"/>
    </row>
    <row r="49" spans="1:13" x14ac:dyDescent="0.25">
      <c r="A49" s="14"/>
      <c r="B49" s="15" t="str">
        <f>IF(A49="","",SUMIF(PEMBAYARAN!B:B,A49,PEMBAYARAN!F:F))</f>
        <v/>
      </c>
      <c r="C49" s="15" t="str">
        <f>IF(B49="","",B49*PENGATURAN!$B$21)</f>
        <v/>
      </c>
      <c r="D49" s="15" t="str">
        <f>IF(B49="","",B49*PENGATURAN!$B$22)</f>
        <v/>
      </c>
      <c r="E49" s="15" t="str">
        <f>IF(B49="","",B49*PENGATURAN!$B$23)</f>
        <v/>
      </c>
      <c r="F49" s="15" t="str">
        <f>IF(B49="","",B49*PENGATURAN!$B$24)</f>
        <v/>
      </c>
      <c r="G49" s="15" t="str">
        <f>IF(B49="","",B49*PENGATURAN!$B$25)</f>
        <v/>
      </c>
      <c r="H49" s="15" t="str">
        <f t="shared" si="3"/>
        <v/>
      </c>
      <c r="I49" s="15" t="str">
        <f t="shared" si="4"/>
        <v/>
      </c>
      <c r="J49" s="14"/>
      <c r="K49" s="14"/>
      <c r="L49" s="15">
        <f t="shared" si="5"/>
        <v>0</v>
      </c>
      <c r="M49" s="14"/>
    </row>
    <row r="50" spans="1:13" x14ac:dyDescent="0.25">
      <c r="A50" s="14"/>
      <c r="B50" s="15" t="str">
        <f>IF(A50="","",SUMIF(PEMBAYARAN!B:B,A50,PEMBAYARAN!F:F))</f>
        <v/>
      </c>
      <c r="C50" s="15" t="str">
        <f>IF(B50="","",B50*PENGATURAN!$B$21)</f>
        <v/>
      </c>
      <c r="D50" s="15" t="str">
        <f>IF(B50="","",B50*PENGATURAN!$B$22)</f>
        <v/>
      </c>
      <c r="E50" s="15" t="str">
        <f>IF(B50="","",B50*PENGATURAN!$B$23)</f>
        <v/>
      </c>
      <c r="F50" s="15" t="str">
        <f>IF(B50="","",B50*PENGATURAN!$B$24)</f>
        <v/>
      </c>
      <c r="G50" s="15" t="str">
        <f>IF(B50="","",B50*PENGATURAN!$B$25)</f>
        <v/>
      </c>
      <c r="H50" s="15" t="str">
        <f t="shared" si="3"/>
        <v/>
      </c>
      <c r="I50" s="15" t="str">
        <f t="shared" si="4"/>
        <v/>
      </c>
      <c r="J50" s="14"/>
      <c r="K50" s="14"/>
      <c r="L50" s="15">
        <f t="shared" si="5"/>
        <v>0</v>
      </c>
      <c r="M50" s="14"/>
    </row>
    <row r="51" spans="1:13" x14ac:dyDescent="0.25">
      <c r="B51" s="6" t="str">
        <f>IF(A51="","",SUMIF(PEMBAYARAN!B:B,A51,PEMBAYARAN!F:F))</f>
        <v/>
      </c>
      <c r="C51" s="6" t="str">
        <f>IF(B51="","",B51*PENGATURAN!$B$21)</f>
        <v/>
      </c>
      <c r="D51" s="6" t="str">
        <f>IF(B51="","",B51*PENGATURAN!$B$22)</f>
        <v/>
      </c>
      <c r="E51" s="6" t="str">
        <f>IF(B51="","",B51*PENGATURAN!$B$23)</f>
        <v/>
      </c>
      <c r="F51" s="6" t="str">
        <f>IF(B51="","",B51*PENGATURAN!$B$24)</f>
        <v/>
      </c>
      <c r="G51" s="6" t="str">
        <f>IF(B51="","",B51*PENGATURAN!$B$25)</f>
        <v/>
      </c>
      <c r="H51" s="6" t="str">
        <f t="shared" si="3"/>
        <v/>
      </c>
      <c r="I51" s="6" t="str">
        <f t="shared" si="4"/>
        <v/>
      </c>
      <c r="L51" s="6">
        <f t="shared" si="5"/>
        <v>0</v>
      </c>
    </row>
    <row r="52" spans="1:13" x14ac:dyDescent="0.25">
      <c r="B52" s="6" t="str">
        <f>IF(A52="","",SUMIF(PEMBAYARAN!B:B,A52,PEMBAYARAN!F:F))</f>
        <v/>
      </c>
      <c r="C52" s="6" t="str">
        <f>IF(B52="","",B52*PENGATURAN!$B$21)</f>
        <v/>
      </c>
      <c r="D52" s="6" t="str">
        <f>IF(B52="","",B52*PENGATURAN!$B$22)</f>
        <v/>
      </c>
      <c r="E52" s="6" t="str">
        <f>IF(B52="","",B52*PENGATURAN!$B$23)</f>
        <v/>
      </c>
      <c r="F52" s="6" t="str">
        <f>IF(B52="","",B52*PENGATURAN!$B$24)</f>
        <v/>
      </c>
      <c r="G52" s="6" t="str">
        <f>IF(B52="","",B52*PENGATURAN!$B$25)</f>
        <v/>
      </c>
      <c r="H52" s="6" t="str">
        <f t="shared" si="3"/>
        <v/>
      </c>
      <c r="I52" s="6" t="str">
        <f t="shared" si="4"/>
        <v/>
      </c>
      <c r="L52" s="6">
        <f t="shared" si="5"/>
        <v>0</v>
      </c>
    </row>
    <row r="53" spans="1:13" x14ac:dyDescent="0.25">
      <c r="B53" s="6" t="str">
        <f>IF(A53="","",SUMIF(PEMBAYARAN!B:B,A53,PEMBAYARAN!F:F))</f>
        <v/>
      </c>
      <c r="C53" s="6" t="str">
        <f>IF(B53="","",B53*PENGATURAN!$B$21)</f>
        <v/>
      </c>
      <c r="D53" s="6" t="str">
        <f>IF(B53="","",B53*PENGATURAN!$B$22)</f>
        <v/>
      </c>
      <c r="E53" s="6" t="str">
        <f>IF(B53="","",B53*PENGATURAN!$B$23)</f>
        <v/>
      </c>
      <c r="F53" s="6" t="str">
        <f>IF(B53="","",B53*PENGATURAN!$B$24)</f>
        <v/>
      </c>
      <c r="G53" s="6" t="str">
        <f>IF(B53="","",B53*PENGATURAN!$B$25)</f>
        <v/>
      </c>
      <c r="H53" s="6" t="str">
        <f t="shared" si="3"/>
        <v/>
      </c>
      <c r="I53" s="6" t="str">
        <f t="shared" si="4"/>
        <v/>
      </c>
      <c r="L53" s="6">
        <f t="shared" si="5"/>
        <v>0</v>
      </c>
    </row>
    <row r="54" spans="1:13" x14ac:dyDescent="0.25">
      <c r="B54" s="6" t="str">
        <f>IF(A54="","",SUMIF(PEMBAYARAN!B:B,A54,PEMBAYARAN!F:F))</f>
        <v/>
      </c>
      <c r="C54" s="6" t="str">
        <f>IF(B54="","",B54*PENGATURAN!$B$21)</f>
        <v/>
      </c>
      <c r="D54" s="6" t="str">
        <f>IF(B54="","",B54*PENGATURAN!$B$22)</f>
        <v/>
      </c>
      <c r="E54" s="6" t="str">
        <f>IF(B54="","",B54*PENGATURAN!$B$23)</f>
        <v/>
      </c>
      <c r="F54" s="6" t="str">
        <f>IF(B54="","",B54*PENGATURAN!$B$24)</f>
        <v/>
      </c>
      <c r="G54" s="6" t="str">
        <f>IF(B54="","",B54*PENGATURAN!$B$25)</f>
        <v/>
      </c>
      <c r="H54" s="6" t="str">
        <f t="shared" si="3"/>
        <v/>
      </c>
      <c r="I54" s="6" t="str">
        <f t="shared" si="4"/>
        <v/>
      </c>
      <c r="L54" s="6">
        <f t="shared" si="5"/>
        <v>0</v>
      </c>
    </row>
    <row r="55" spans="1:13" x14ac:dyDescent="0.25">
      <c r="B55" s="6" t="str">
        <f>IF(A55="","",SUMIF(PEMBAYARAN!B:B,A55,PEMBAYARAN!F:F))</f>
        <v/>
      </c>
      <c r="C55" s="6" t="str">
        <f>IF(B55="","",B55*PENGATURAN!$B$21)</f>
        <v/>
      </c>
      <c r="D55" s="6" t="str">
        <f>IF(B55="","",B55*PENGATURAN!$B$22)</f>
        <v/>
      </c>
      <c r="E55" s="6" t="str">
        <f>IF(B55="","",B55*PENGATURAN!$B$23)</f>
        <v/>
      </c>
      <c r="F55" s="6" t="str">
        <f>IF(B55="","",B55*PENGATURAN!$B$24)</f>
        <v/>
      </c>
      <c r="G55" s="6" t="str">
        <f>IF(B55="","",B55*PENGATURAN!$B$25)</f>
        <v/>
      </c>
      <c r="H55" s="6" t="str">
        <f t="shared" si="3"/>
        <v/>
      </c>
      <c r="I55" s="6" t="str">
        <f t="shared" si="4"/>
        <v/>
      </c>
      <c r="L55" s="6">
        <f t="shared" si="5"/>
        <v>0</v>
      </c>
    </row>
    <row r="56" spans="1:13" x14ac:dyDescent="0.25">
      <c r="B56" s="6" t="str">
        <f>IF(A56="","",SUMIF(PEMBAYARAN!B:B,A56,PEMBAYARAN!F:F))</f>
        <v/>
      </c>
      <c r="C56" s="6" t="str">
        <f>IF(B56="","",B56*PENGATURAN!$B$21)</f>
        <v/>
      </c>
      <c r="D56" s="6" t="str">
        <f>IF(B56="","",B56*PENGATURAN!$B$22)</f>
        <v/>
      </c>
      <c r="E56" s="6" t="str">
        <f>IF(B56="","",B56*PENGATURAN!$B$23)</f>
        <v/>
      </c>
      <c r="F56" s="6" t="str">
        <f>IF(B56="","",B56*PENGATURAN!$B$24)</f>
        <v/>
      </c>
      <c r="G56" s="6" t="str">
        <f>IF(B56="","",B56*PENGATURAN!$B$25)</f>
        <v/>
      </c>
      <c r="H56" s="6" t="str">
        <f t="shared" si="3"/>
        <v/>
      </c>
      <c r="I56" s="6" t="str">
        <f t="shared" si="4"/>
        <v/>
      </c>
      <c r="L56" s="6">
        <f t="shared" si="5"/>
        <v>0</v>
      </c>
    </row>
    <row r="57" spans="1:13" x14ac:dyDescent="0.25">
      <c r="B57" s="6" t="str">
        <f>IF(A57="","",SUMIF(PEMBAYARAN!B:B,A57,PEMBAYARAN!F:F))</f>
        <v/>
      </c>
      <c r="C57" s="6" t="str">
        <f>IF(B57="","",B57*PENGATURAN!$B$21)</f>
        <v/>
      </c>
      <c r="D57" s="6" t="str">
        <f>IF(B57="","",B57*PENGATURAN!$B$22)</f>
        <v/>
      </c>
      <c r="E57" s="6" t="str">
        <f>IF(B57="","",B57*PENGATURAN!$B$23)</f>
        <v/>
      </c>
      <c r="F57" s="6" t="str">
        <f>IF(B57="","",B57*PENGATURAN!$B$24)</f>
        <v/>
      </c>
      <c r="G57" s="6" t="str">
        <f>IF(B57="","",B57*PENGATURAN!$B$25)</f>
        <v/>
      </c>
      <c r="H57" s="6" t="str">
        <f t="shared" si="3"/>
        <v/>
      </c>
      <c r="I57" s="6" t="str">
        <f t="shared" si="4"/>
        <v/>
      </c>
      <c r="L57" s="6">
        <f t="shared" si="5"/>
        <v>0</v>
      </c>
    </row>
    <row r="58" spans="1:13" x14ac:dyDescent="0.25">
      <c r="B58" s="6" t="str">
        <f>IF(A58="","",SUMIF(PEMBAYARAN!B:B,A58,PEMBAYARAN!F:F))</f>
        <v/>
      </c>
      <c r="C58" s="6" t="str">
        <f>IF(B58="","",B58*PENGATURAN!$B$21)</f>
        <v/>
      </c>
      <c r="D58" s="6" t="str">
        <f>IF(B58="","",B58*PENGATURAN!$B$22)</f>
        <v/>
      </c>
      <c r="E58" s="6" t="str">
        <f>IF(B58="","",B58*PENGATURAN!$B$23)</f>
        <v/>
      </c>
      <c r="F58" s="6" t="str">
        <f>IF(B58="","",B58*PENGATURAN!$B$24)</f>
        <v/>
      </c>
      <c r="G58" s="6" t="str">
        <f>IF(B58="","",B58*PENGATURAN!$B$25)</f>
        <v/>
      </c>
      <c r="H58" s="6" t="str">
        <f t="shared" si="3"/>
        <v/>
      </c>
      <c r="I58" s="6" t="str">
        <f t="shared" si="4"/>
        <v/>
      </c>
      <c r="L58" s="6">
        <f t="shared" si="5"/>
        <v>0</v>
      </c>
    </row>
    <row r="59" spans="1:13" x14ac:dyDescent="0.25">
      <c r="B59" s="6" t="str">
        <f>IF(A59="","",SUMIF(PEMBAYARAN!B:B,A59,PEMBAYARAN!F:F))</f>
        <v/>
      </c>
      <c r="C59" s="6" t="str">
        <f>IF(B59="","",B59*PENGATURAN!$B$21)</f>
        <v/>
      </c>
      <c r="D59" s="6" t="str">
        <f>IF(B59="","",B59*PENGATURAN!$B$22)</f>
        <v/>
      </c>
      <c r="E59" s="6" t="str">
        <f>IF(B59="","",B59*PENGATURAN!$B$23)</f>
        <v/>
      </c>
      <c r="F59" s="6" t="str">
        <f>IF(B59="","",B59*PENGATURAN!$B$24)</f>
        <v/>
      </c>
      <c r="G59" s="6" t="str">
        <f>IF(B59="","",B59*PENGATURAN!$B$25)</f>
        <v/>
      </c>
      <c r="H59" s="6" t="str">
        <f t="shared" si="3"/>
        <v/>
      </c>
      <c r="I59" s="6" t="str">
        <f t="shared" si="4"/>
        <v/>
      </c>
      <c r="L59" s="6">
        <f t="shared" si="5"/>
        <v>0</v>
      </c>
    </row>
    <row r="60" spans="1:13" x14ac:dyDescent="0.25">
      <c r="B60" s="6" t="str">
        <f>IF(A60="","",SUMIF(PEMBAYARAN!B:B,A60,PEMBAYARAN!F:F))</f>
        <v/>
      </c>
      <c r="C60" s="6" t="str">
        <f>IF(B60="","",B60*PENGATURAN!$B$21)</f>
        <v/>
      </c>
      <c r="D60" s="6" t="str">
        <f>IF(B60="","",B60*PENGATURAN!$B$22)</f>
        <v/>
      </c>
      <c r="E60" s="6" t="str">
        <f>IF(B60="","",B60*PENGATURAN!$B$23)</f>
        <v/>
      </c>
      <c r="F60" s="6" t="str">
        <f>IF(B60="","",B60*PENGATURAN!$B$24)</f>
        <v/>
      </c>
      <c r="G60" s="6" t="str">
        <f>IF(B60="","",B60*PENGATURAN!$B$25)</f>
        <v/>
      </c>
      <c r="H60" s="6" t="str">
        <f t="shared" si="3"/>
        <v/>
      </c>
      <c r="I60" s="6" t="str">
        <f t="shared" si="4"/>
        <v/>
      </c>
      <c r="L60" s="6">
        <f t="shared" si="5"/>
        <v>0</v>
      </c>
    </row>
    <row r="61" spans="1:13" x14ac:dyDescent="0.25">
      <c r="B61" s="6" t="str">
        <f>IF(A61="","",SUMIF(PEMBAYARAN!B:B,A61,PEMBAYARAN!F:F))</f>
        <v/>
      </c>
      <c r="C61" s="6" t="str">
        <f>IF(B61="","",B61*PENGATURAN!$B$21)</f>
        <v/>
      </c>
      <c r="D61" s="6" t="str">
        <f>IF(B61="","",B61*PENGATURAN!$B$22)</f>
        <v/>
      </c>
      <c r="E61" s="6" t="str">
        <f>IF(B61="","",B61*PENGATURAN!$B$23)</f>
        <v/>
      </c>
      <c r="F61" s="6" t="str">
        <f>IF(B61="","",B61*PENGATURAN!$B$24)</f>
        <v/>
      </c>
      <c r="G61" s="6" t="str">
        <f>IF(B61="","",B61*PENGATURAN!$B$25)</f>
        <v/>
      </c>
      <c r="H61" s="6" t="str">
        <f t="shared" si="3"/>
        <v/>
      </c>
      <c r="I61" s="6" t="str">
        <f t="shared" si="4"/>
        <v/>
      </c>
      <c r="L61" s="6">
        <f t="shared" si="5"/>
        <v>0</v>
      </c>
    </row>
    <row r="62" spans="1:13" x14ac:dyDescent="0.25">
      <c r="B62" s="6" t="str">
        <f>IF(A62="","",SUMIF(PEMBAYARAN!B:B,A62,PEMBAYARAN!F:F))</f>
        <v/>
      </c>
      <c r="C62" s="6" t="str">
        <f>IF(B62="","",B62*PENGATURAN!$B$21)</f>
        <v/>
      </c>
      <c r="D62" s="6" t="str">
        <f>IF(B62="","",B62*PENGATURAN!$B$22)</f>
        <v/>
      </c>
      <c r="E62" s="6" t="str">
        <f>IF(B62="","",B62*PENGATURAN!$B$23)</f>
        <v/>
      </c>
      <c r="F62" s="6" t="str">
        <f>IF(B62="","",B62*PENGATURAN!$B$24)</f>
        <v/>
      </c>
      <c r="G62" s="6" t="str">
        <f>IF(B62="","",B62*PENGATURAN!$B$25)</f>
        <v/>
      </c>
      <c r="H62" s="6" t="str">
        <f t="shared" si="3"/>
        <v/>
      </c>
      <c r="I62" s="6" t="str">
        <f t="shared" si="4"/>
        <v/>
      </c>
      <c r="L62" s="6">
        <f t="shared" si="5"/>
        <v>0</v>
      </c>
    </row>
    <row r="63" spans="1:13" x14ac:dyDescent="0.25">
      <c r="B63" s="6" t="str">
        <f>IF(A63="","",SUMIF(PEMBAYARAN!B:B,A63,PEMBAYARAN!F:F))</f>
        <v/>
      </c>
      <c r="C63" s="6" t="str">
        <f>IF(B63="","",B63*PENGATURAN!$B$21)</f>
        <v/>
      </c>
      <c r="D63" s="6" t="str">
        <f>IF(B63="","",B63*PENGATURAN!$B$22)</f>
        <v/>
      </c>
      <c r="E63" s="6" t="str">
        <f>IF(B63="","",B63*PENGATURAN!$B$23)</f>
        <v/>
      </c>
      <c r="F63" s="6" t="str">
        <f>IF(B63="","",B63*PENGATURAN!$B$24)</f>
        <v/>
      </c>
      <c r="G63" s="6" t="str">
        <f>IF(B63="","",B63*PENGATURAN!$B$25)</f>
        <v/>
      </c>
      <c r="H63" s="6" t="str">
        <f t="shared" si="3"/>
        <v/>
      </c>
      <c r="I63" s="6" t="str">
        <f t="shared" si="4"/>
        <v/>
      </c>
      <c r="L63" s="6">
        <f t="shared" si="5"/>
        <v>0</v>
      </c>
    </row>
    <row r="64" spans="1:13" x14ac:dyDescent="0.25">
      <c r="B64" s="6" t="str">
        <f>IF(A64="","",SUMIF(PEMBAYARAN!B:B,A64,PEMBAYARAN!F:F))</f>
        <v/>
      </c>
      <c r="C64" s="6" t="str">
        <f>IF(B64="","",B64*PENGATURAN!$B$21)</f>
        <v/>
      </c>
      <c r="D64" s="6" t="str">
        <f>IF(B64="","",B64*PENGATURAN!$B$22)</f>
        <v/>
      </c>
      <c r="E64" s="6" t="str">
        <f>IF(B64="","",B64*PENGATURAN!$B$23)</f>
        <v/>
      </c>
      <c r="F64" s="6" t="str">
        <f>IF(B64="","",B64*PENGATURAN!$B$24)</f>
        <v/>
      </c>
      <c r="G64" s="6" t="str">
        <f>IF(B64="","",B64*PENGATURAN!$B$25)</f>
        <v/>
      </c>
      <c r="H64" s="6" t="str">
        <f t="shared" si="3"/>
        <v/>
      </c>
      <c r="I64" s="6" t="str">
        <f t="shared" si="4"/>
        <v/>
      </c>
      <c r="L64" s="6">
        <f t="shared" si="5"/>
        <v>0</v>
      </c>
    </row>
    <row r="65" spans="2:12" x14ac:dyDescent="0.25">
      <c r="B65" s="6" t="str">
        <f>IF(A65="","",SUMIF(PEMBAYARAN!B:B,A65,PEMBAYARAN!F:F))</f>
        <v/>
      </c>
      <c r="C65" s="6" t="str">
        <f>IF(B65="","",B65*PENGATURAN!$B$21)</f>
        <v/>
      </c>
      <c r="D65" s="6" t="str">
        <f>IF(B65="","",B65*PENGATURAN!$B$22)</f>
        <v/>
      </c>
      <c r="E65" s="6" t="str">
        <f>IF(B65="","",B65*PENGATURAN!$B$23)</f>
        <v/>
      </c>
      <c r="F65" s="6" t="str">
        <f>IF(B65="","",B65*PENGATURAN!$B$24)</f>
        <v/>
      </c>
      <c r="G65" s="6" t="str">
        <f>IF(B65="","",B65*PENGATURAN!$B$25)</f>
        <v/>
      </c>
      <c r="H65" s="6" t="str">
        <f t="shared" si="3"/>
        <v/>
      </c>
      <c r="I65" s="6" t="str">
        <f t="shared" si="4"/>
        <v/>
      </c>
      <c r="L65" s="6">
        <f t="shared" si="5"/>
        <v>0</v>
      </c>
    </row>
    <row r="66" spans="2:12" x14ac:dyDescent="0.25">
      <c r="B66" s="6" t="str">
        <f>IF(A66="","",SUMIF(PEMBAYARAN!B:B,A66,PEMBAYARAN!F:F))</f>
        <v/>
      </c>
      <c r="C66" s="6" t="str">
        <f>IF(B66="","",B66*PENGATURAN!$B$21)</f>
        <v/>
      </c>
      <c r="D66" s="6" t="str">
        <f>IF(B66="","",B66*PENGATURAN!$B$22)</f>
        <v/>
      </c>
      <c r="E66" s="6" t="str">
        <f>IF(B66="","",B66*PENGATURAN!$B$23)</f>
        <v/>
      </c>
      <c r="F66" s="6" t="str">
        <f>IF(B66="","",B66*PENGATURAN!$B$24)</f>
        <v/>
      </c>
      <c r="G66" s="6" t="str">
        <f>IF(B66="","",B66*PENGATURAN!$B$25)</f>
        <v/>
      </c>
      <c r="H66" s="6" t="str">
        <f t="shared" si="3"/>
        <v/>
      </c>
      <c r="I66" s="6" t="str">
        <f t="shared" si="4"/>
        <v/>
      </c>
      <c r="L66" s="6">
        <f t="shared" si="5"/>
        <v>0</v>
      </c>
    </row>
    <row r="67" spans="2:12" x14ac:dyDescent="0.25">
      <c r="B67" s="6" t="str">
        <f>IF(A67="","",SUMIF(PEMBAYARAN!B:B,A67,PEMBAYARAN!F:F))</f>
        <v/>
      </c>
      <c r="C67" s="6" t="str">
        <f>IF(B67="","",B67*PENGATURAN!$B$21)</f>
        <v/>
      </c>
      <c r="D67" s="6" t="str">
        <f>IF(B67="","",B67*PENGATURAN!$B$22)</f>
        <v/>
      </c>
      <c r="E67" s="6" t="str">
        <f>IF(B67="","",B67*PENGATURAN!$B$23)</f>
        <v/>
      </c>
      <c r="F67" s="6" t="str">
        <f>IF(B67="","",B67*PENGATURAN!$B$24)</f>
        <v/>
      </c>
      <c r="G67" s="6" t="str">
        <f>IF(B67="","",B67*PENGATURAN!$B$25)</f>
        <v/>
      </c>
      <c r="H67" s="6" t="str">
        <f t="shared" si="3"/>
        <v/>
      </c>
      <c r="I67" s="6" t="str">
        <f t="shared" si="4"/>
        <v/>
      </c>
      <c r="L67" s="6">
        <f t="shared" si="5"/>
        <v>0</v>
      </c>
    </row>
    <row r="68" spans="2:12" x14ac:dyDescent="0.25">
      <c r="B68" s="6" t="str">
        <f>IF(A68="","",SUMIF(PEMBAYARAN!B:B,A68,PEMBAYARAN!F:F))</f>
        <v/>
      </c>
      <c r="C68" s="6" t="str">
        <f>IF(B68="","",B68*PENGATURAN!$B$21)</f>
        <v/>
      </c>
      <c r="D68" s="6" t="str">
        <f>IF(B68="","",B68*PENGATURAN!$B$22)</f>
        <v/>
      </c>
      <c r="E68" s="6" t="str">
        <f>IF(B68="","",B68*PENGATURAN!$B$23)</f>
        <v/>
      </c>
      <c r="F68" s="6" t="str">
        <f>IF(B68="","",B68*PENGATURAN!$B$24)</f>
        <v/>
      </c>
      <c r="G68" s="6" t="str">
        <f>IF(B68="","",B68*PENGATURAN!$B$25)</f>
        <v/>
      </c>
      <c r="H68" s="6" t="str">
        <f t="shared" ref="H68:H99" si="6">IF(B68="","",SUM(C68:G68))</f>
        <v/>
      </c>
      <c r="I68" s="6" t="str">
        <f t="shared" ref="I68:I99" si="7">IF(B68="","",B68-H68)</f>
        <v/>
      </c>
      <c r="L68" s="6">
        <f t="shared" ref="L68:L99" si="8">IF(OR(J68&lt;&gt;"Lunas",K68&lt;&gt;"Tercukupi"),0,I68)</f>
        <v>0</v>
      </c>
    </row>
    <row r="69" spans="2:12" x14ac:dyDescent="0.25">
      <c r="B69" s="6" t="str">
        <f>IF(A69="","",SUMIF(PEMBAYARAN!B:B,A69,PEMBAYARAN!F:F))</f>
        <v/>
      </c>
      <c r="C69" s="6" t="str">
        <f>IF(B69="","",B69*PENGATURAN!$B$21)</f>
        <v/>
      </c>
      <c r="D69" s="6" t="str">
        <f>IF(B69="","",B69*PENGATURAN!$B$22)</f>
        <v/>
      </c>
      <c r="E69" s="6" t="str">
        <f>IF(B69="","",B69*PENGATURAN!$B$23)</f>
        <v/>
      </c>
      <c r="F69" s="6" t="str">
        <f>IF(B69="","",B69*PENGATURAN!$B$24)</f>
        <v/>
      </c>
      <c r="G69" s="6" t="str">
        <f>IF(B69="","",B69*PENGATURAN!$B$25)</f>
        <v/>
      </c>
      <c r="H69" s="6" t="str">
        <f t="shared" si="6"/>
        <v/>
      </c>
      <c r="I69" s="6" t="str">
        <f t="shared" si="7"/>
        <v/>
      </c>
      <c r="L69" s="6">
        <f t="shared" si="8"/>
        <v>0</v>
      </c>
    </row>
    <row r="70" spans="2:12" x14ac:dyDescent="0.25">
      <c r="B70" s="6" t="str">
        <f>IF(A70="","",SUMIF(PEMBAYARAN!B:B,A70,PEMBAYARAN!F:F))</f>
        <v/>
      </c>
      <c r="C70" s="6" t="str">
        <f>IF(B70="","",B70*PENGATURAN!$B$21)</f>
        <v/>
      </c>
      <c r="D70" s="6" t="str">
        <f>IF(B70="","",B70*PENGATURAN!$B$22)</f>
        <v/>
      </c>
      <c r="E70" s="6" t="str">
        <f>IF(B70="","",B70*PENGATURAN!$B$23)</f>
        <v/>
      </c>
      <c r="F70" s="6" t="str">
        <f>IF(B70="","",B70*PENGATURAN!$B$24)</f>
        <v/>
      </c>
      <c r="G70" s="6" t="str">
        <f>IF(B70="","",B70*PENGATURAN!$B$25)</f>
        <v/>
      </c>
      <c r="H70" s="6" t="str">
        <f t="shared" si="6"/>
        <v/>
      </c>
      <c r="I70" s="6" t="str">
        <f t="shared" si="7"/>
        <v/>
      </c>
      <c r="L70" s="6">
        <f t="shared" si="8"/>
        <v>0</v>
      </c>
    </row>
    <row r="71" spans="2:12" x14ac:dyDescent="0.25">
      <c r="B71" s="6" t="str">
        <f>IF(A71="","",SUMIF(PEMBAYARAN!B:B,A71,PEMBAYARAN!F:F))</f>
        <v/>
      </c>
      <c r="C71" s="6" t="str">
        <f>IF(B71="","",B71*PENGATURAN!$B$21)</f>
        <v/>
      </c>
      <c r="D71" s="6" t="str">
        <f>IF(B71="","",B71*PENGATURAN!$B$22)</f>
        <v/>
      </c>
      <c r="E71" s="6" t="str">
        <f>IF(B71="","",B71*PENGATURAN!$B$23)</f>
        <v/>
      </c>
      <c r="F71" s="6" t="str">
        <f>IF(B71="","",B71*PENGATURAN!$B$24)</f>
        <v/>
      </c>
      <c r="G71" s="6" t="str">
        <f>IF(B71="","",B71*PENGATURAN!$B$25)</f>
        <v/>
      </c>
      <c r="H71" s="6" t="str">
        <f t="shared" si="6"/>
        <v/>
      </c>
      <c r="I71" s="6" t="str">
        <f t="shared" si="7"/>
        <v/>
      </c>
      <c r="L71" s="6">
        <f t="shared" si="8"/>
        <v>0</v>
      </c>
    </row>
    <row r="72" spans="2:12" x14ac:dyDescent="0.25">
      <c r="B72" s="6" t="str">
        <f>IF(A72="","",SUMIF(PEMBAYARAN!B:B,A72,PEMBAYARAN!F:F))</f>
        <v/>
      </c>
      <c r="C72" s="6" t="str">
        <f>IF(B72="","",B72*PENGATURAN!$B$21)</f>
        <v/>
      </c>
      <c r="D72" s="6" t="str">
        <f>IF(B72="","",B72*PENGATURAN!$B$22)</f>
        <v/>
      </c>
      <c r="E72" s="6" t="str">
        <f>IF(B72="","",B72*PENGATURAN!$B$23)</f>
        <v/>
      </c>
      <c r="F72" s="6" t="str">
        <f>IF(B72="","",B72*PENGATURAN!$B$24)</f>
        <v/>
      </c>
      <c r="G72" s="6" t="str">
        <f>IF(B72="","",B72*PENGATURAN!$B$25)</f>
        <v/>
      </c>
      <c r="H72" s="6" t="str">
        <f t="shared" si="6"/>
        <v/>
      </c>
      <c r="I72" s="6" t="str">
        <f t="shared" si="7"/>
        <v/>
      </c>
      <c r="L72" s="6">
        <f t="shared" si="8"/>
        <v>0</v>
      </c>
    </row>
    <row r="73" spans="2:12" x14ac:dyDescent="0.25">
      <c r="B73" s="6" t="str">
        <f>IF(A73="","",SUMIF(PEMBAYARAN!B:B,A73,PEMBAYARAN!F:F))</f>
        <v/>
      </c>
      <c r="C73" s="6" t="str">
        <f>IF(B73="","",B73*PENGATURAN!$B$21)</f>
        <v/>
      </c>
      <c r="D73" s="6" t="str">
        <f>IF(B73="","",B73*PENGATURAN!$B$22)</f>
        <v/>
      </c>
      <c r="E73" s="6" t="str">
        <f>IF(B73="","",B73*PENGATURAN!$B$23)</f>
        <v/>
      </c>
      <c r="F73" s="6" t="str">
        <f>IF(B73="","",B73*PENGATURAN!$B$24)</f>
        <v/>
      </c>
      <c r="G73" s="6" t="str">
        <f>IF(B73="","",B73*PENGATURAN!$B$25)</f>
        <v/>
      </c>
      <c r="H73" s="6" t="str">
        <f t="shared" si="6"/>
        <v/>
      </c>
      <c r="I73" s="6" t="str">
        <f t="shared" si="7"/>
        <v/>
      </c>
      <c r="L73" s="6">
        <f t="shared" si="8"/>
        <v>0</v>
      </c>
    </row>
    <row r="74" spans="2:12" x14ac:dyDescent="0.25">
      <c r="B74" s="6" t="str">
        <f>IF(A74="","",SUMIF(PEMBAYARAN!B:B,A74,PEMBAYARAN!F:F))</f>
        <v/>
      </c>
      <c r="C74" s="6" t="str">
        <f>IF(B74="","",B74*PENGATURAN!$B$21)</f>
        <v/>
      </c>
      <c r="D74" s="6" t="str">
        <f>IF(B74="","",B74*PENGATURAN!$B$22)</f>
        <v/>
      </c>
      <c r="E74" s="6" t="str">
        <f>IF(B74="","",B74*PENGATURAN!$B$23)</f>
        <v/>
      </c>
      <c r="F74" s="6" t="str">
        <f>IF(B74="","",B74*PENGATURAN!$B$24)</f>
        <v/>
      </c>
      <c r="G74" s="6" t="str">
        <f>IF(B74="","",B74*PENGATURAN!$B$25)</f>
        <v/>
      </c>
      <c r="H74" s="6" t="str">
        <f t="shared" si="6"/>
        <v/>
      </c>
      <c r="I74" s="6" t="str">
        <f t="shared" si="7"/>
        <v/>
      </c>
      <c r="L74" s="6">
        <f t="shared" si="8"/>
        <v>0</v>
      </c>
    </row>
    <row r="75" spans="2:12" x14ac:dyDescent="0.25">
      <c r="B75" s="6" t="str">
        <f>IF(A75="","",SUMIF(PEMBAYARAN!B:B,A75,PEMBAYARAN!F:F))</f>
        <v/>
      </c>
      <c r="C75" s="6" t="str">
        <f>IF(B75="","",B75*PENGATURAN!$B$21)</f>
        <v/>
      </c>
      <c r="D75" s="6" t="str">
        <f>IF(B75="","",B75*PENGATURAN!$B$22)</f>
        <v/>
      </c>
      <c r="E75" s="6" t="str">
        <f>IF(B75="","",B75*PENGATURAN!$B$23)</f>
        <v/>
      </c>
      <c r="F75" s="6" t="str">
        <f>IF(B75="","",B75*PENGATURAN!$B$24)</f>
        <v/>
      </c>
      <c r="G75" s="6" t="str">
        <f>IF(B75="","",B75*PENGATURAN!$B$25)</f>
        <v/>
      </c>
      <c r="H75" s="6" t="str">
        <f t="shared" si="6"/>
        <v/>
      </c>
      <c r="I75" s="6" t="str">
        <f t="shared" si="7"/>
        <v/>
      </c>
      <c r="L75" s="6">
        <f t="shared" si="8"/>
        <v>0</v>
      </c>
    </row>
    <row r="76" spans="2:12" x14ac:dyDescent="0.25">
      <c r="B76" s="6" t="str">
        <f>IF(A76="","",SUMIF(PEMBAYARAN!B:B,A76,PEMBAYARAN!F:F))</f>
        <v/>
      </c>
      <c r="C76" s="6" t="str">
        <f>IF(B76="","",B76*PENGATURAN!$B$21)</f>
        <v/>
      </c>
      <c r="D76" s="6" t="str">
        <f>IF(B76="","",B76*PENGATURAN!$B$22)</f>
        <v/>
      </c>
      <c r="E76" s="6" t="str">
        <f>IF(B76="","",B76*PENGATURAN!$B$23)</f>
        <v/>
      </c>
      <c r="F76" s="6" t="str">
        <f>IF(B76="","",B76*PENGATURAN!$B$24)</f>
        <v/>
      </c>
      <c r="G76" s="6" t="str">
        <f>IF(B76="","",B76*PENGATURAN!$B$25)</f>
        <v/>
      </c>
      <c r="H76" s="6" t="str">
        <f t="shared" si="6"/>
        <v/>
      </c>
      <c r="I76" s="6" t="str">
        <f t="shared" si="7"/>
        <v/>
      </c>
      <c r="L76" s="6">
        <f t="shared" si="8"/>
        <v>0</v>
      </c>
    </row>
    <row r="77" spans="2:12" x14ac:dyDescent="0.25">
      <c r="B77" s="6" t="str">
        <f>IF(A77="","",SUMIF(PEMBAYARAN!B:B,A77,PEMBAYARAN!F:F))</f>
        <v/>
      </c>
      <c r="C77" s="6" t="str">
        <f>IF(B77="","",B77*PENGATURAN!$B$21)</f>
        <v/>
      </c>
      <c r="D77" s="6" t="str">
        <f>IF(B77="","",B77*PENGATURAN!$B$22)</f>
        <v/>
      </c>
      <c r="E77" s="6" t="str">
        <f>IF(B77="","",B77*PENGATURAN!$B$23)</f>
        <v/>
      </c>
      <c r="F77" s="6" t="str">
        <f>IF(B77="","",B77*PENGATURAN!$B$24)</f>
        <v/>
      </c>
      <c r="G77" s="6" t="str">
        <f>IF(B77="","",B77*PENGATURAN!$B$25)</f>
        <v/>
      </c>
      <c r="H77" s="6" t="str">
        <f t="shared" si="6"/>
        <v/>
      </c>
      <c r="I77" s="6" t="str">
        <f t="shared" si="7"/>
        <v/>
      </c>
      <c r="L77" s="6">
        <f t="shared" si="8"/>
        <v>0</v>
      </c>
    </row>
    <row r="78" spans="2:12" x14ac:dyDescent="0.25">
      <c r="B78" s="6" t="str">
        <f>IF(A78="","",SUMIF(PEMBAYARAN!B:B,A78,PEMBAYARAN!F:F))</f>
        <v/>
      </c>
      <c r="C78" s="6" t="str">
        <f>IF(B78="","",B78*PENGATURAN!$B$21)</f>
        <v/>
      </c>
      <c r="D78" s="6" t="str">
        <f>IF(B78="","",B78*PENGATURAN!$B$22)</f>
        <v/>
      </c>
      <c r="E78" s="6" t="str">
        <f>IF(B78="","",B78*PENGATURAN!$B$23)</f>
        <v/>
      </c>
      <c r="F78" s="6" t="str">
        <f>IF(B78="","",B78*PENGATURAN!$B$24)</f>
        <v/>
      </c>
      <c r="G78" s="6" t="str">
        <f>IF(B78="","",B78*PENGATURAN!$B$25)</f>
        <v/>
      </c>
      <c r="H78" s="6" t="str">
        <f t="shared" si="6"/>
        <v/>
      </c>
      <c r="I78" s="6" t="str">
        <f t="shared" si="7"/>
        <v/>
      </c>
      <c r="L78" s="6">
        <f t="shared" si="8"/>
        <v>0</v>
      </c>
    </row>
    <row r="79" spans="2:12" x14ac:dyDescent="0.25">
      <c r="B79" s="6" t="str">
        <f>IF(A79="","",SUMIF(PEMBAYARAN!B:B,A79,PEMBAYARAN!F:F))</f>
        <v/>
      </c>
      <c r="C79" s="6" t="str">
        <f>IF(B79="","",B79*PENGATURAN!$B$21)</f>
        <v/>
      </c>
      <c r="D79" s="6" t="str">
        <f>IF(B79="","",B79*PENGATURAN!$B$22)</f>
        <v/>
      </c>
      <c r="E79" s="6" t="str">
        <f>IF(B79="","",B79*PENGATURAN!$B$23)</f>
        <v/>
      </c>
      <c r="F79" s="6" t="str">
        <f>IF(B79="","",B79*PENGATURAN!$B$24)</f>
        <v/>
      </c>
      <c r="G79" s="6" t="str">
        <f>IF(B79="","",B79*PENGATURAN!$B$25)</f>
        <v/>
      </c>
      <c r="H79" s="6" t="str">
        <f t="shared" si="6"/>
        <v/>
      </c>
      <c r="I79" s="6" t="str">
        <f t="shared" si="7"/>
        <v/>
      </c>
      <c r="L79" s="6">
        <f t="shared" si="8"/>
        <v>0</v>
      </c>
    </row>
    <row r="80" spans="2:12" x14ac:dyDescent="0.25">
      <c r="B80" s="6" t="str">
        <f>IF(A80="","",SUMIF(PEMBAYARAN!B:B,A80,PEMBAYARAN!F:F))</f>
        <v/>
      </c>
      <c r="C80" s="6" t="str">
        <f>IF(B80="","",B80*PENGATURAN!$B$21)</f>
        <v/>
      </c>
      <c r="D80" s="6" t="str">
        <f>IF(B80="","",B80*PENGATURAN!$B$22)</f>
        <v/>
      </c>
      <c r="E80" s="6" t="str">
        <f>IF(B80="","",B80*PENGATURAN!$B$23)</f>
        <v/>
      </c>
      <c r="F80" s="6" t="str">
        <f>IF(B80="","",B80*PENGATURAN!$B$24)</f>
        <v/>
      </c>
      <c r="G80" s="6" t="str">
        <f>IF(B80="","",B80*PENGATURAN!$B$25)</f>
        <v/>
      </c>
      <c r="H80" s="6" t="str">
        <f t="shared" si="6"/>
        <v/>
      </c>
      <c r="I80" s="6" t="str">
        <f t="shared" si="7"/>
        <v/>
      </c>
      <c r="L80" s="6">
        <f t="shared" si="8"/>
        <v>0</v>
      </c>
    </row>
    <row r="81" spans="2:12" x14ac:dyDescent="0.25">
      <c r="B81" s="6" t="str">
        <f>IF(A81="","",SUMIF(PEMBAYARAN!B:B,A81,PEMBAYARAN!F:F))</f>
        <v/>
      </c>
      <c r="C81" s="6" t="str">
        <f>IF(B81="","",B81*PENGATURAN!$B$21)</f>
        <v/>
      </c>
      <c r="D81" s="6" t="str">
        <f>IF(B81="","",B81*PENGATURAN!$B$22)</f>
        <v/>
      </c>
      <c r="E81" s="6" t="str">
        <f>IF(B81="","",B81*PENGATURAN!$B$23)</f>
        <v/>
      </c>
      <c r="F81" s="6" t="str">
        <f>IF(B81="","",B81*PENGATURAN!$B$24)</f>
        <v/>
      </c>
      <c r="G81" s="6" t="str">
        <f>IF(B81="","",B81*PENGATURAN!$B$25)</f>
        <v/>
      </c>
      <c r="H81" s="6" t="str">
        <f t="shared" si="6"/>
        <v/>
      </c>
      <c r="I81" s="6" t="str">
        <f t="shared" si="7"/>
        <v/>
      </c>
      <c r="L81" s="6">
        <f t="shared" si="8"/>
        <v>0</v>
      </c>
    </row>
    <row r="82" spans="2:12" x14ac:dyDescent="0.25">
      <c r="B82" s="6" t="str">
        <f>IF(A82="","",SUMIF(PEMBAYARAN!B:B,A82,PEMBAYARAN!F:F))</f>
        <v/>
      </c>
      <c r="C82" s="6" t="str">
        <f>IF(B82="","",B82*PENGATURAN!$B$21)</f>
        <v/>
      </c>
      <c r="D82" s="6" t="str">
        <f>IF(B82="","",B82*PENGATURAN!$B$22)</f>
        <v/>
      </c>
      <c r="E82" s="6" t="str">
        <f>IF(B82="","",B82*PENGATURAN!$B$23)</f>
        <v/>
      </c>
      <c r="F82" s="6" t="str">
        <f>IF(B82="","",B82*PENGATURAN!$B$24)</f>
        <v/>
      </c>
      <c r="G82" s="6" t="str">
        <f>IF(B82="","",B82*PENGATURAN!$B$25)</f>
        <v/>
      </c>
      <c r="H82" s="6" t="str">
        <f t="shared" si="6"/>
        <v/>
      </c>
      <c r="I82" s="6" t="str">
        <f t="shared" si="7"/>
        <v/>
      </c>
      <c r="L82" s="6">
        <f t="shared" si="8"/>
        <v>0</v>
      </c>
    </row>
    <row r="83" spans="2:12" x14ac:dyDescent="0.25">
      <c r="B83" s="6" t="str">
        <f>IF(A83="","",SUMIF(PEMBAYARAN!B:B,A83,PEMBAYARAN!F:F))</f>
        <v/>
      </c>
      <c r="C83" s="6" t="str">
        <f>IF(B83="","",B83*PENGATURAN!$B$21)</f>
        <v/>
      </c>
      <c r="D83" s="6" t="str">
        <f>IF(B83="","",B83*PENGATURAN!$B$22)</f>
        <v/>
      </c>
      <c r="E83" s="6" t="str">
        <f>IF(B83="","",B83*PENGATURAN!$B$23)</f>
        <v/>
      </c>
      <c r="F83" s="6" t="str">
        <f>IF(B83="","",B83*PENGATURAN!$B$24)</f>
        <v/>
      </c>
      <c r="G83" s="6" t="str">
        <f>IF(B83="","",B83*PENGATURAN!$B$25)</f>
        <v/>
      </c>
      <c r="H83" s="6" t="str">
        <f t="shared" si="6"/>
        <v/>
      </c>
      <c r="I83" s="6" t="str">
        <f t="shared" si="7"/>
        <v/>
      </c>
      <c r="L83" s="6">
        <f t="shared" si="8"/>
        <v>0</v>
      </c>
    </row>
    <row r="84" spans="2:12" x14ac:dyDescent="0.25">
      <c r="B84" s="6" t="str">
        <f>IF(A84="","",SUMIF(PEMBAYARAN!B:B,A84,PEMBAYARAN!F:F))</f>
        <v/>
      </c>
      <c r="C84" s="6" t="str">
        <f>IF(B84="","",B84*PENGATURAN!$B$21)</f>
        <v/>
      </c>
      <c r="D84" s="6" t="str">
        <f>IF(B84="","",B84*PENGATURAN!$B$22)</f>
        <v/>
      </c>
      <c r="E84" s="6" t="str">
        <f>IF(B84="","",B84*PENGATURAN!$B$23)</f>
        <v/>
      </c>
      <c r="F84" s="6" t="str">
        <f>IF(B84="","",B84*PENGATURAN!$B$24)</f>
        <v/>
      </c>
      <c r="G84" s="6" t="str">
        <f>IF(B84="","",B84*PENGATURAN!$B$25)</f>
        <v/>
      </c>
      <c r="H84" s="6" t="str">
        <f t="shared" si="6"/>
        <v/>
      </c>
      <c r="I84" s="6" t="str">
        <f t="shared" si="7"/>
        <v/>
      </c>
      <c r="L84" s="6">
        <f t="shared" si="8"/>
        <v>0</v>
      </c>
    </row>
    <row r="85" spans="2:12" x14ac:dyDescent="0.25">
      <c r="B85" s="6" t="str">
        <f>IF(A85="","",SUMIF(PEMBAYARAN!B:B,A85,PEMBAYARAN!F:F))</f>
        <v/>
      </c>
      <c r="C85" s="6" t="str">
        <f>IF(B85="","",B85*PENGATURAN!$B$21)</f>
        <v/>
      </c>
      <c r="D85" s="6" t="str">
        <f>IF(B85="","",B85*PENGATURAN!$B$22)</f>
        <v/>
      </c>
      <c r="E85" s="6" t="str">
        <f>IF(B85="","",B85*PENGATURAN!$B$23)</f>
        <v/>
      </c>
      <c r="F85" s="6" t="str">
        <f>IF(B85="","",B85*PENGATURAN!$B$24)</f>
        <v/>
      </c>
      <c r="G85" s="6" t="str">
        <f>IF(B85="","",B85*PENGATURAN!$B$25)</f>
        <v/>
      </c>
      <c r="H85" s="6" t="str">
        <f t="shared" si="6"/>
        <v/>
      </c>
      <c r="I85" s="6" t="str">
        <f t="shared" si="7"/>
        <v/>
      </c>
      <c r="L85" s="6">
        <f t="shared" si="8"/>
        <v>0</v>
      </c>
    </row>
    <row r="86" spans="2:12" x14ac:dyDescent="0.25">
      <c r="B86" s="6" t="str">
        <f>IF(A86="","",SUMIF(PEMBAYARAN!B:B,A86,PEMBAYARAN!F:F))</f>
        <v/>
      </c>
      <c r="C86" s="6" t="str">
        <f>IF(B86="","",B86*PENGATURAN!$B$21)</f>
        <v/>
      </c>
      <c r="D86" s="6" t="str">
        <f>IF(B86="","",B86*PENGATURAN!$B$22)</f>
        <v/>
      </c>
      <c r="E86" s="6" t="str">
        <f>IF(B86="","",B86*PENGATURAN!$B$23)</f>
        <v/>
      </c>
      <c r="F86" s="6" t="str">
        <f>IF(B86="","",B86*PENGATURAN!$B$24)</f>
        <v/>
      </c>
      <c r="G86" s="6" t="str">
        <f>IF(B86="","",B86*PENGATURAN!$B$25)</f>
        <v/>
      </c>
      <c r="H86" s="6" t="str">
        <f t="shared" si="6"/>
        <v/>
      </c>
      <c r="I86" s="6" t="str">
        <f t="shared" si="7"/>
        <v/>
      </c>
      <c r="L86" s="6">
        <f t="shared" si="8"/>
        <v>0</v>
      </c>
    </row>
    <row r="87" spans="2:12" x14ac:dyDescent="0.25">
      <c r="B87" s="6" t="str">
        <f>IF(A87="","",SUMIF(PEMBAYARAN!B:B,A87,PEMBAYARAN!F:F))</f>
        <v/>
      </c>
      <c r="C87" s="6" t="str">
        <f>IF(B87="","",B87*PENGATURAN!$B$21)</f>
        <v/>
      </c>
      <c r="D87" s="6" t="str">
        <f>IF(B87="","",B87*PENGATURAN!$B$22)</f>
        <v/>
      </c>
      <c r="E87" s="6" t="str">
        <f>IF(B87="","",B87*PENGATURAN!$B$23)</f>
        <v/>
      </c>
      <c r="F87" s="6" t="str">
        <f>IF(B87="","",B87*PENGATURAN!$B$24)</f>
        <v/>
      </c>
      <c r="G87" s="6" t="str">
        <f>IF(B87="","",B87*PENGATURAN!$B$25)</f>
        <v/>
      </c>
      <c r="H87" s="6" t="str">
        <f t="shared" si="6"/>
        <v/>
      </c>
      <c r="I87" s="6" t="str">
        <f t="shared" si="7"/>
        <v/>
      </c>
      <c r="L87" s="6">
        <f t="shared" si="8"/>
        <v>0</v>
      </c>
    </row>
    <row r="88" spans="2:12" x14ac:dyDescent="0.25">
      <c r="B88" s="6" t="str">
        <f>IF(A88="","",SUMIF(PEMBAYARAN!B:B,A88,PEMBAYARAN!F:F))</f>
        <v/>
      </c>
      <c r="C88" s="6" t="str">
        <f>IF(B88="","",B88*PENGATURAN!$B$21)</f>
        <v/>
      </c>
      <c r="D88" s="6" t="str">
        <f>IF(B88="","",B88*PENGATURAN!$B$22)</f>
        <v/>
      </c>
      <c r="E88" s="6" t="str">
        <f>IF(B88="","",B88*PENGATURAN!$B$23)</f>
        <v/>
      </c>
      <c r="F88" s="6" t="str">
        <f>IF(B88="","",B88*PENGATURAN!$B$24)</f>
        <v/>
      </c>
      <c r="G88" s="6" t="str">
        <f>IF(B88="","",B88*PENGATURAN!$B$25)</f>
        <v/>
      </c>
      <c r="H88" s="6" t="str">
        <f t="shared" si="6"/>
        <v/>
      </c>
      <c r="I88" s="6" t="str">
        <f t="shared" si="7"/>
        <v/>
      </c>
      <c r="L88" s="6">
        <f t="shared" si="8"/>
        <v>0</v>
      </c>
    </row>
    <row r="89" spans="2:12" x14ac:dyDescent="0.25">
      <c r="B89" s="6" t="str">
        <f>IF(A89="","",SUMIF(PEMBAYARAN!B:B,A89,PEMBAYARAN!F:F))</f>
        <v/>
      </c>
      <c r="C89" s="6" t="str">
        <f>IF(B89="","",B89*PENGATURAN!$B$21)</f>
        <v/>
      </c>
      <c r="D89" s="6" t="str">
        <f>IF(B89="","",B89*PENGATURAN!$B$22)</f>
        <v/>
      </c>
      <c r="E89" s="6" t="str">
        <f>IF(B89="","",B89*PENGATURAN!$B$23)</f>
        <v/>
      </c>
      <c r="F89" s="6" t="str">
        <f>IF(B89="","",B89*PENGATURAN!$B$24)</f>
        <v/>
      </c>
      <c r="G89" s="6" t="str">
        <f>IF(B89="","",B89*PENGATURAN!$B$25)</f>
        <v/>
      </c>
      <c r="H89" s="6" t="str">
        <f t="shared" si="6"/>
        <v/>
      </c>
      <c r="I89" s="6" t="str">
        <f t="shared" si="7"/>
        <v/>
      </c>
      <c r="L89" s="6">
        <f t="shared" si="8"/>
        <v>0</v>
      </c>
    </row>
    <row r="90" spans="2:12" x14ac:dyDescent="0.25">
      <c r="B90" s="6" t="str">
        <f>IF(A90="","",SUMIF(PEMBAYARAN!B:B,A90,PEMBAYARAN!F:F))</f>
        <v/>
      </c>
      <c r="C90" s="6" t="str">
        <f>IF(B90="","",B90*PENGATURAN!$B$21)</f>
        <v/>
      </c>
      <c r="D90" s="6" t="str">
        <f>IF(B90="","",B90*PENGATURAN!$B$22)</f>
        <v/>
      </c>
      <c r="E90" s="6" t="str">
        <f>IF(B90="","",B90*PENGATURAN!$B$23)</f>
        <v/>
      </c>
      <c r="F90" s="6" t="str">
        <f>IF(B90="","",B90*PENGATURAN!$B$24)</f>
        <v/>
      </c>
      <c r="G90" s="6" t="str">
        <f>IF(B90="","",B90*PENGATURAN!$B$25)</f>
        <v/>
      </c>
      <c r="H90" s="6" t="str">
        <f t="shared" si="6"/>
        <v/>
      </c>
      <c r="I90" s="6" t="str">
        <f t="shared" si="7"/>
        <v/>
      </c>
      <c r="L90" s="6">
        <f t="shared" si="8"/>
        <v>0</v>
      </c>
    </row>
    <row r="91" spans="2:12" x14ac:dyDescent="0.25">
      <c r="B91" s="6" t="str">
        <f>IF(A91="","",SUMIF(PEMBAYARAN!B:B,A91,PEMBAYARAN!F:F))</f>
        <v/>
      </c>
      <c r="C91" s="6" t="str">
        <f>IF(B91="","",B91*PENGATURAN!$B$21)</f>
        <v/>
      </c>
      <c r="D91" s="6" t="str">
        <f>IF(B91="","",B91*PENGATURAN!$B$22)</f>
        <v/>
      </c>
      <c r="E91" s="6" t="str">
        <f>IF(B91="","",B91*PENGATURAN!$B$23)</f>
        <v/>
      </c>
      <c r="F91" s="6" t="str">
        <f>IF(B91="","",B91*PENGATURAN!$B$24)</f>
        <v/>
      </c>
      <c r="G91" s="6" t="str">
        <f>IF(B91="","",B91*PENGATURAN!$B$25)</f>
        <v/>
      </c>
      <c r="H91" s="6" t="str">
        <f t="shared" si="6"/>
        <v/>
      </c>
      <c r="I91" s="6" t="str">
        <f t="shared" si="7"/>
        <v/>
      </c>
      <c r="L91" s="6">
        <f t="shared" si="8"/>
        <v>0</v>
      </c>
    </row>
    <row r="92" spans="2:12" x14ac:dyDescent="0.25">
      <c r="B92" s="6" t="str">
        <f>IF(A92="","",SUMIF(PEMBAYARAN!B:B,A92,PEMBAYARAN!F:F))</f>
        <v/>
      </c>
      <c r="C92" s="6" t="str">
        <f>IF(B92="","",B92*PENGATURAN!$B$21)</f>
        <v/>
      </c>
      <c r="D92" s="6" t="str">
        <f>IF(B92="","",B92*PENGATURAN!$B$22)</f>
        <v/>
      </c>
      <c r="E92" s="6" t="str">
        <f>IF(B92="","",B92*PENGATURAN!$B$23)</f>
        <v/>
      </c>
      <c r="F92" s="6" t="str">
        <f>IF(B92="","",B92*PENGATURAN!$B$24)</f>
        <v/>
      </c>
      <c r="G92" s="6" t="str">
        <f>IF(B92="","",B92*PENGATURAN!$B$25)</f>
        <v/>
      </c>
      <c r="H92" s="6" t="str">
        <f t="shared" si="6"/>
        <v/>
      </c>
      <c r="I92" s="6" t="str">
        <f t="shared" si="7"/>
        <v/>
      </c>
      <c r="L92" s="6">
        <f t="shared" si="8"/>
        <v>0</v>
      </c>
    </row>
    <row r="93" spans="2:12" x14ac:dyDescent="0.25">
      <c r="B93" s="6" t="str">
        <f>IF(A93="","",SUMIF(PEMBAYARAN!B:B,A93,PEMBAYARAN!F:F))</f>
        <v/>
      </c>
      <c r="C93" s="6" t="str">
        <f>IF(B93="","",B93*PENGATURAN!$B$21)</f>
        <v/>
      </c>
      <c r="D93" s="6" t="str">
        <f>IF(B93="","",B93*PENGATURAN!$B$22)</f>
        <v/>
      </c>
      <c r="E93" s="6" t="str">
        <f>IF(B93="","",B93*PENGATURAN!$B$23)</f>
        <v/>
      </c>
      <c r="F93" s="6" t="str">
        <f>IF(B93="","",B93*PENGATURAN!$B$24)</f>
        <v/>
      </c>
      <c r="G93" s="6" t="str">
        <f>IF(B93="","",B93*PENGATURAN!$B$25)</f>
        <v/>
      </c>
      <c r="H93" s="6" t="str">
        <f t="shared" si="6"/>
        <v/>
      </c>
      <c r="I93" s="6" t="str">
        <f t="shared" si="7"/>
        <v/>
      </c>
      <c r="L93" s="6">
        <f t="shared" si="8"/>
        <v>0</v>
      </c>
    </row>
    <row r="94" spans="2:12" x14ac:dyDescent="0.25">
      <c r="B94" s="6" t="str">
        <f>IF(A94="","",SUMIF(PEMBAYARAN!B:B,A94,PEMBAYARAN!F:F))</f>
        <v/>
      </c>
      <c r="C94" s="6" t="str">
        <f>IF(B94="","",B94*PENGATURAN!$B$21)</f>
        <v/>
      </c>
      <c r="D94" s="6" t="str">
        <f>IF(B94="","",B94*PENGATURAN!$B$22)</f>
        <v/>
      </c>
      <c r="E94" s="6" t="str">
        <f>IF(B94="","",B94*PENGATURAN!$B$23)</f>
        <v/>
      </c>
      <c r="F94" s="6" t="str">
        <f>IF(B94="","",B94*PENGATURAN!$B$24)</f>
        <v/>
      </c>
      <c r="G94" s="6" t="str">
        <f>IF(B94="","",B94*PENGATURAN!$B$25)</f>
        <v/>
      </c>
      <c r="H94" s="6" t="str">
        <f t="shared" si="6"/>
        <v/>
      </c>
      <c r="I94" s="6" t="str">
        <f t="shared" si="7"/>
        <v/>
      </c>
      <c r="L94" s="6">
        <f t="shared" si="8"/>
        <v>0</v>
      </c>
    </row>
    <row r="95" spans="2:12" x14ac:dyDescent="0.25">
      <c r="B95" s="6" t="str">
        <f>IF(A95="","",SUMIF(PEMBAYARAN!B:B,A95,PEMBAYARAN!F:F))</f>
        <v/>
      </c>
      <c r="C95" s="6" t="str">
        <f>IF(B95="","",B95*PENGATURAN!$B$21)</f>
        <v/>
      </c>
      <c r="D95" s="6" t="str">
        <f>IF(B95="","",B95*PENGATURAN!$B$22)</f>
        <v/>
      </c>
      <c r="E95" s="6" t="str">
        <f>IF(B95="","",B95*PENGATURAN!$B$23)</f>
        <v/>
      </c>
      <c r="F95" s="6" t="str">
        <f>IF(B95="","",B95*PENGATURAN!$B$24)</f>
        <v/>
      </c>
      <c r="G95" s="6" t="str">
        <f>IF(B95="","",B95*PENGATURAN!$B$25)</f>
        <v/>
      </c>
      <c r="H95" s="6" t="str">
        <f t="shared" si="6"/>
        <v/>
      </c>
      <c r="I95" s="6" t="str">
        <f t="shared" si="7"/>
        <v/>
      </c>
      <c r="L95" s="6">
        <f t="shared" si="8"/>
        <v>0</v>
      </c>
    </row>
    <row r="96" spans="2:12" x14ac:dyDescent="0.25">
      <c r="B96" s="6" t="str">
        <f>IF(A96="","",SUMIF(PEMBAYARAN!B:B,A96,PEMBAYARAN!F:F))</f>
        <v/>
      </c>
      <c r="C96" s="6" t="str">
        <f>IF(B96="","",B96*PENGATURAN!$B$21)</f>
        <v/>
      </c>
      <c r="D96" s="6" t="str">
        <f>IF(B96="","",B96*PENGATURAN!$B$22)</f>
        <v/>
      </c>
      <c r="E96" s="6" t="str">
        <f>IF(B96="","",B96*PENGATURAN!$B$23)</f>
        <v/>
      </c>
      <c r="F96" s="6" t="str">
        <f>IF(B96="","",B96*PENGATURAN!$B$24)</f>
        <v/>
      </c>
      <c r="G96" s="6" t="str">
        <f>IF(B96="","",B96*PENGATURAN!$B$25)</f>
        <v/>
      </c>
      <c r="H96" s="6" t="str">
        <f t="shared" si="6"/>
        <v/>
      </c>
      <c r="I96" s="6" t="str">
        <f t="shared" si="7"/>
        <v/>
      </c>
      <c r="L96" s="6">
        <f t="shared" si="8"/>
        <v>0</v>
      </c>
    </row>
    <row r="97" spans="2:12" x14ac:dyDescent="0.25">
      <c r="B97" s="6" t="str">
        <f>IF(A97="","",SUMIF(PEMBAYARAN!B:B,A97,PEMBAYARAN!F:F))</f>
        <v/>
      </c>
      <c r="C97" s="6" t="str">
        <f>IF(B97="","",B97*PENGATURAN!$B$21)</f>
        <v/>
      </c>
      <c r="D97" s="6" t="str">
        <f>IF(B97="","",B97*PENGATURAN!$B$22)</f>
        <v/>
      </c>
      <c r="E97" s="6" t="str">
        <f>IF(B97="","",B97*PENGATURAN!$B$23)</f>
        <v/>
      </c>
      <c r="F97" s="6" t="str">
        <f>IF(B97="","",B97*PENGATURAN!$B$24)</f>
        <v/>
      </c>
      <c r="G97" s="6" t="str">
        <f>IF(B97="","",B97*PENGATURAN!$B$25)</f>
        <v/>
      </c>
      <c r="H97" s="6" t="str">
        <f t="shared" si="6"/>
        <v/>
      </c>
      <c r="I97" s="6" t="str">
        <f t="shared" si="7"/>
        <v/>
      </c>
      <c r="L97" s="6">
        <f t="shared" si="8"/>
        <v>0</v>
      </c>
    </row>
    <row r="98" spans="2:12" x14ac:dyDescent="0.25">
      <c r="B98" s="6" t="str">
        <f>IF(A98="","",SUMIF(PEMBAYARAN!B:B,A98,PEMBAYARAN!F:F))</f>
        <v/>
      </c>
      <c r="C98" s="6" t="str">
        <f>IF(B98="","",B98*PENGATURAN!$B$21)</f>
        <v/>
      </c>
      <c r="D98" s="6" t="str">
        <f>IF(B98="","",B98*PENGATURAN!$B$22)</f>
        <v/>
      </c>
      <c r="E98" s="6" t="str">
        <f>IF(B98="","",B98*PENGATURAN!$B$23)</f>
        <v/>
      </c>
      <c r="F98" s="6" t="str">
        <f>IF(B98="","",B98*PENGATURAN!$B$24)</f>
        <v/>
      </c>
      <c r="G98" s="6" t="str">
        <f>IF(B98="","",B98*PENGATURAN!$B$25)</f>
        <v/>
      </c>
      <c r="H98" s="6" t="str">
        <f t="shared" si="6"/>
        <v/>
      </c>
      <c r="I98" s="6" t="str">
        <f t="shared" si="7"/>
        <v/>
      </c>
      <c r="L98" s="6">
        <f t="shared" si="8"/>
        <v>0</v>
      </c>
    </row>
    <row r="99" spans="2:12" x14ac:dyDescent="0.25">
      <c r="B99" s="6" t="str">
        <f>IF(A99="","",SUMIF(PEMBAYARAN!B:B,A99,PEMBAYARAN!F:F))</f>
        <v/>
      </c>
      <c r="C99" s="6" t="str">
        <f>IF(B99="","",B99*PENGATURAN!$B$21)</f>
        <v/>
      </c>
      <c r="D99" s="6" t="str">
        <f>IF(B99="","",B99*PENGATURAN!$B$22)</f>
        <v/>
      </c>
      <c r="E99" s="6" t="str">
        <f>IF(B99="","",B99*PENGATURAN!$B$23)</f>
        <v/>
      </c>
      <c r="F99" s="6" t="str">
        <f>IF(B99="","",B99*PENGATURAN!$B$24)</f>
        <v/>
      </c>
      <c r="G99" s="6" t="str">
        <f>IF(B99="","",B99*PENGATURAN!$B$25)</f>
        <v/>
      </c>
      <c r="H99" s="6" t="str">
        <f t="shared" si="6"/>
        <v/>
      </c>
      <c r="I99" s="6" t="str">
        <f t="shared" si="7"/>
        <v/>
      </c>
      <c r="L99" s="6">
        <f t="shared" si="8"/>
        <v>0</v>
      </c>
    </row>
    <row r="100" spans="2:12" x14ac:dyDescent="0.25">
      <c r="B100" s="6" t="str">
        <f>IF(A100="","",SUMIF(PEMBAYARAN!B:B,A100,PEMBAYARAN!F:F))</f>
        <v/>
      </c>
      <c r="C100" s="6" t="str">
        <f>IF(B100="","",B100*PENGATURAN!$B$21)</f>
        <v/>
      </c>
      <c r="D100" s="6" t="str">
        <f>IF(B100="","",B100*PENGATURAN!$B$22)</f>
        <v/>
      </c>
      <c r="E100" s="6" t="str">
        <f>IF(B100="","",B100*PENGATURAN!$B$23)</f>
        <v/>
      </c>
      <c r="F100" s="6" t="str">
        <f>IF(B100="","",B100*PENGATURAN!$B$24)</f>
        <v/>
      </c>
      <c r="G100" s="6" t="str">
        <f>IF(B100="","",B100*PENGATURAN!$B$25)</f>
        <v/>
      </c>
      <c r="H100" s="6" t="str">
        <f t="shared" ref="H100:H131" si="9">IF(B100="","",SUM(C100:G100))</f>
        <v/>
      </c>
      <c r="I100" s="6" t="str">
        <f t="shared" ref="I100:I131" si="10">IF(B100="","",B100-H100)</f>
        <v/>
      </c>
      <c r="L100" s="6">
        <f t="shared" ref="L100:L131" si="11">IF(OR(J100&lt;&gt;"Lunas",K100&lt;&gt;"Tercukupi"),0,I100)</f>
        <v>0</v>
      </c>
    </row>
    <row r="101" spans="2:12" x14ac:dyDescent="0.25">
      <c r="B101" s="6" t="str">
        <f>IF(A101="","",SUMIF(PEMBAYARAN!B:B,A101,PEMBAYARAN!F:F))</f>
        <v/>
      </c>
      <c r="C101" s="6" t="str">
        <f>IF(B101="","",B101*PENGATURAN!$B$21)</f>
        <v/>
      </c>
      <c r="D101" s="6" t="str">
        <f>IF(B101="","",B101*PENGATURAN!$B$22)</f>
        <v/>
      </c>
      <c r="E101" s="6" t="str">
        <f>IF(B101="","",B101*PENGATURAN!$B$23)</f>
        <v/>
      </c>
      <c r="F101" s="6" t="str">
        <f>IF(B101="","",B101*PENGATURAN!$B$24)</f>
        <v/>
      </c>
      <c r="G101" s="6" t="str">
        <f>IF(B101="","",B101*PENGATURAN!$B$25)</f>
        <v/>
      </c>
      <c r="H101" s="6" t="str">
        <f t="shared" si="9"/>
        <v/>
      </c>
      <c r="I101" s="6" t="str">
        <f t="shared" si="10"/>
        <v/>
      </c>
      <c r="L101" s="6">
        <f t="shared" si="11"/>
        <v>0</v>
      </c>
    </row>
    <row r="102" spans="2:12" x14ac:dyDescent="0.25">
      <c r="B102" s="6" t="str">
        <f>IF(A102="","",SUMIF(PEMBAYARAN!B:B,A102,PEMBAYARAN!F:F))</f>
        <v/>
      </c>
      <c r="C102" s="6" t="str">
        <f>IF(B102="","",B102*PENGATURAN!$B$21)</f>
        <v/>
      </c>
      <c r="D102" s="6" t="str">
        <f>IF(B102="","",B102*PENGATURAN!$B$22)</f>
        <v/>
      </c>
      <c r="E102" s="6" t="str">
        <f>IF(B102="","",B102*PENGATURAN!$B$23)</f>
        <v/>
      </c>
      <c r="F102" s="6" t="str">
        <f>IF(B102="","",B102*PENGATURAN!$B$24)</f>
        <v/>
      </c>
      <c r="G102" s="6" t="str">
        <f>IF(B102="","",B102*PENGATURAN!$B$25)</f>
        <v/>
      </c>
      <c r="H102" s="6" t="str">
        <f t="shared" si="9"/>
        <v/>
      </c>
      <c r="I102" s="6" t="str">
        <f t="shared" si="10"/>
        <v/>
      </c>
      <c r="L102" s="6">
        <f t="shared" si="11"/>
        <v>0</v>
      </c>
    </row>
    <row r="103" spans="2:12" x14ac:dyDescent="0.25">
      <c r="B103" s="6" t="str">
        <f>IF(A103="","",SUMIF(PEMBAYARAN!B:B,A103,PEMBAYARAN!F:F))</f>
        <v/>
      </c>
      <c r="C103" s="6" t="str">
        <f>IF(B103="","",B103*PENGATURAN!$B$21)</f>
        <v/>
      </c>
      <c r="D103" s="6" t="str">
        <f>IF(B103="","",B103*PENGATURAN!$B$22)</f>
        <v/>
      </c>
      <c r="E103" s="6" t="str">
        <f>IF(B103="","",B103*PENGATURAN!$B$23)</f>
        <v/>
      </c>
      <c r="F103" s="6" t="str">
        <f>IF(B103="","",B103*PENGATURAN!$B$24)</f>
        <v/>
      </c>
      <c r="G103" s="6" t="str">
        <f>IF(B103="","",B103*PENGATURAN!$B$25)</f>
        <v/>
      </c>
      <c r="H103" s="6" t="str">
        <f t="shared" si="9"/>
        <v/>
      </c>
      <c r="I103" s="6" t="str">
        <f t="shared" si="10"/>
        <v/>
      </c>
      <c r="L103" s="6">
        <f t="shared" si="11"/>
        <v>0</v>
      </c>
    </row>
    <row r="104" spans="2:12" x14ac:dyDescent="0.25">
      <c r="B104" s="6" t="str">
        <f>IF(A104="","",SUMIF(PEMBAYARAN!B:B,A104,PEMBAYARAN!F:F))</f>
        <v/>
      </c>
      <c r="C104" s="6" t="str">
        <f>IF(B104="","",B104*PENGATURAN!$B$21)</f>
        <v/>
      </c>
      <c r="D104" s="6" t="str">
        <f>IF(B104="","",B104*PENGATURAN!$B$22)</f>
        <v/>
      </c>
      <c r="E104" s="6" t="str">
        <f>IF(B104="","",B104*PENGATURAN!$B$23)</f>
        <v/>
      </c>
      <c r="F104" s="6" t="str">
        <f>IF(B104="","",B104*PENGATURAN!$B$24)</f>
        <v/>
      </c>
      <c r="G104" s="6" t="str">
        <f>IF(B104="","",B104*PENGATURAN!$B$25)</f>
        <v/>
      </c>
      <c r="H104" s="6" t="str">
        <f t="shared" si="9"/>
        <v/>
      </c>
      <c r="I104" s="6" t="str">
        <f t="shared" si="10"/>
        <v/>
      </c>
      <c r="L104" s="6">
        <f t="shared" si="11"/>
        <v>0</v>
      </c>
    </row>
    <row r="105" spans="2:12" x14ac:dyDescent="0.25">
      <c r="B105" s="6" t="str">
        <f>IF(A105="","",SUMIF(PEMBAYARAN!B:B,A105,PEMBAYARAN!F:F))</f>
        <v/>
      </c>
      <c r="C105" s="6" t="str">
        <f>IF(B105="","",B105*PENGATURAN!$B$21)</f>
        <v/>
      </c>
      <c r="D105" s="6" t="str">
        <f>IF(B105="","",B105*PENGATURAN!$B$22)</f>
        <v/>
      </c>
      <c r="E105" s="6" t="str">
        <f>IF(B105="","",B105*PENGATURAN!$B$23)</f>
        <v/>
      </c>
      <c r="F105" s="6" t="str">
        <f>IF(B105="","",B105*PENGATURAN!$B$24)</f>
        <v/>
      </c>
      <c r="G105" s="6" t="str">
        <f>IF(B105="","",B105*PENGATURAN!$B$25)</f>
        <v/>
      </c>
      <c r="H105" s="6" t="str">
        <f t="shared" si="9"/>
        <v/>
      </c>
      <c r="I105" s="6" t="str">
        <f t="shared" si="10"/>
        <v/>
      </c>
      <c r="L105" s="6">
        <f t="shared" si="11"/>
        <v>0</v>
      </c>
    </row>
    <row r="106" spans="2:12" x14ac:dyDescent="0.25">
      <c r="B106" s="6" t="str">
        <f>IF(A106="","",SUMIF(PEMBAYARAN!B:B,A106,PEMBAYARAN!F:F))</f>
        <v/>
      </c>
      <c r="C106" s="6" t="str">
        <f>IF(B106="","",B106*PENGATURAN!$B$21)</f>
        <v/>
      </c>
      <c r="D106" s="6" t="str">
        <f>IF(B106="","",B106*PENGATURAN!$B$22)</f>
        <v/>
      </c>
      <c r="E106" s="6" t="str">
        <f>IF(B106="","",B106*PENGATURAN!$B$23)</f>
        <v/>
      </c>
      <c r="F106" s="6" t="str">
        <f>IF(B106="","",B106*PENGATURAN!$B$24)</f>
        <v/>
      </c>
      <c r="G106" s="6" t="str">
        <f>IF(B106="","",B106*PENGATURAN!$B$25)</f>
        <v/>
      </c>
      <c r="H106" s="6" t="str">
        <f t="shared" si="9"/>
        <v/>
      </c>
      <c r="I106" s="6" t="str">
        <f t="shared" si="10"/>
        <v/>
      </c>
      <c r="L106" s="6">
        <f t="shared" si="11"/>
        <v>0</v>
      </c>
    </row>
    <row r="107" spans="2:12" x14ac:dyDescent="0.25">
      <c r="B107" s="6" t="str">
        <f>IF(A107="","",SUMIF(PEMBAYARAN!B:B,A107,PEMBAYARAN!F:F))</f>
        <v/>
      </c>
      <c r="C107" s="6" t="str">
        <f>IF(B107="","",B107*PENGATURAN!$B$21)</f>
        <v/>
      </c>
      <c r="D107" s="6" t="str">
        <f>IF(B107="","",B107*PENGATURAN!$B$22)</f>
        <v/>
      </c>
      <c r="E107" s="6" t="str">
        <f>IF(B107="","",B107*PENGATURAN!$B$23)</f>
        <v/>
      </c>
      <c r="F107" s="6" t="str">
        <f>IF(B107="","",B107*PENGATURAN!$B$24)</f>
        <v/>
      </c>
      <c r="G107" s="6" t="str">
        <f>IF(B107="","",B107*PENGATURAN!$B$25)</f>
        <v/>
      </c>
      <c r="H107" s="6" t="str">
        <f t="shared" si="9"/>
        <v/>
      </c>
      <c r="I107" s="6" t="str">
        <f t="shared" si="10"/>
        <v/>
      </c>
      <c r="L107" s="6">
        <f t="shared" si="11"/>
        <v>0</v>
      </c>
    </row>
    <row r="108" spans="2:12" x14ac:dyDescent="0.25">
      <c r="B108" s="6" t="str">
        <f>IF(A108="","",SUMIF(PEMBAYARAN!B:B,A108,PEMBAYARAN!F:F))</f>
        <v/>
      </c>
      <c r="C108" s="6" t="str">
        <f>IF(B108="","",B108*PENGATURAN!$B$21)</f>
        <v/>
      </c>
      <c r="D108" s="6" t="str">
        <f>IF(B108="","",B108*PENGATURAN!$B$22)</f>
        <v/>
      </c>
      <c r="E108" s="6" t="str">
        <f>IF(B108="","",B108*PENGATURAN!$B$23)</f>
        <v/>
      </c>
      <c r="F108" s="6" t="str">
        <f>IF(B108="","",B108*PENGATURAN!$B$24)</f>
        <v/>
      </c>
      <c r="G108" s="6" t="str">
        <f>IF(B108="","",B108*PENGATURAN!$B$25)</f>
        <v/>
      </c>
      <c r="H108" s="6" t="str">
        <f t="shared" si="9"/>
        <v/>
      </c>
      <c r="I108" s="6" t="str">
        <f t="shared" si="10"/>
        <v/>
      </c>
      <c r="L108" s="6">
        <f t="shared" si="11"/>
        <v>0</v>
      </c>
    </row>
    <row r="109" spans="2:12" x14ac:dyDescent="0.25">
      <c r="B109" s="6" t="str">
        <f>IF(A109="","",SUMIF(PEMBAYARAN!B:B,A109,PEMBAYARAN!F:F))</f>
        <v/>
      </c>
      <c r="C109" s="6" t="str">
        <f>IF(B109="","",B109*PENGATURAN!$B$21)</f>
        <v/>
      </c>
      <c r="D109" s="6" t="str">
        <f>IF(B109="","",B109*PENGATURAN!$B$22)</f>
        <v/>
      </c>
      <c r="E109" s="6" t="str">
        <f>IF(B109="","",B109*PENGATURAN!$B$23)</f>
        <v/>
      </c>
      <c r="F109" s="6" t="str">
        <f>IF(B109="","",B109*PENGATURAN!$B$24)</f>
        <v/>
      </c>
      <c r="G109" s="6" t="str">
        <f>IF(B109="","",B109*PENGATURAN!$B$25)</f>
        <v/>
      </c>
      <c r="H109" s="6" t="str">
        <f t="shared" si="9"/>
        <v/>
      </c>
      <c r="I109" s="6" t="str">
        <f t="shared" si="10"/>
        <v/>
      </c>
      <c r="L109" s="6">
        <f t="shared" si="11"/>
        <v>0</v>
      </c>
    </row>
    <row r="110" spans="2:12" x14ac:dyDescent="0.25">
      <c r="B110" s="6" t="str">
        <f>IF(A110="","",SUMIF(PEMBAYARAN!B:B,A110,PEMBAYARAN!F:F))</f>
        <v/>
      </c>
      <c r="C110" s="6" t="str">
        <f>IF(B110="","",B110*PENGATURAN!$B$21)</f>
        <v/>
      </c>
      <c r="D110" s="6" t="str">
        <f>IF(B110="","",B110*PENGATURAN!$B$22)</f>
        <v/>
      </c>
      <c r="E110" s="6" t="str">
        <f>IF(B110="","",B110*PENGATURAN!$B$23)</f>
        <v/>
      </c>
      <c r="F110" s="6" t="str">
        <f>IF(B110="","",B110*PENGATURAN!$B$24)</f>
        <v/>
      </c>
      <c r="G110" s="6" t="str">
        <f>IF(B110="","",B110*PENGATURAN!$B$25)</f>
        <v/>
      </c>
      <c r="H110" s="6" t="str">
        <f t="shared" si="9"/>
        <v/>
      </c>
      <c r="I110" s="6" t="str">
        <f t="shared" si="10"/>
        <v/>
      </c>
      <c r="L110" s="6">
        <f t="shared" si="11"/>
        <v>0</v>
      </c>
    </row>
    <row r="111" spans="2:12" x14ac:dyDescent="0.25">
      <c r="B111" s="6" t="str">
        <f>IF(A111="","",SUMIF(PEMBAYARAN!B:B,A111,PEMBAYARAN!F:F))</f>
        <v/>
      </c>
      <c r="C111" s="6" t="str">
        <f>IF(B111="","",B111*PENGATURAN!$B$21)</f>
        <v/>
      </c>
      <c r="D111" s="6" t="str">
        <f>IF(B111="","",B111*PENGATURAN!$B$22)</f>
        <v/>
      </c>
      <c r="E111" s="6" t="str">
        <f>IF(B111="","",B111*PENGATURAN!$B$23)</f>
        <v/>
      </c>
      <c r="F111" s="6" t="str">
        <f>IF(B111="","",B111*PENGATURAN!$B$24)</f>
        <v/>
      </c>
      <c r="G111" s="6" t="str">
        <f>IF(B111="","",B111*PENGATURAN!$B$25)</f>
        <v/>
      </c>
      <c r="H111" s="6" t="str">
        <f t="shared" si="9"/>
        <v/>
      </c>
      <c r="I111" s="6" t="str">
        <f t="shared" si="10"/>
        <v/>
      </c>
      <c r="L111" s="6">
        <f t="shared" si="11"/>
        <v>0</v>
      </c>
    </row>
    <row r="112" spans="2:12" x14ac:dyDescent="0.25">
      <c r="B112" s="6" t="str">
        <f>IF(A112="","",SUMIF(PEMBAYARAN!B:B,A112,PEMBAYARAN!F:F))</f>
        <v/>
      </c>
      <c r="C112" s="6" t="str">
        <f>IF(B112="","",B112*PENGATURAN!$B$21)</f>
        <v/>
      </c>
      <c r="D112" s="6" t="str">
        <f>IF(B112="","",B112*PENGATURAN!$B$22)</f>
        <v/>
      </c>
      <c r="E112" s="6" t="str">
        <f>IF(B112="","",B112*PENGATURAN!$B$23)</f>
        <v/>
      </c>
      <c r="F112" s="6" t="str">
        <f>IF(B112="","",B112*PENGATURAN!$B$24)</f>
        <v/>
      </c>
      <c r="G112" s="6" t="str">
        <f>IF(B112="","",B112*PENGATURAN!$B$25)</f>
        <v/>
      </c>
      <c r="H112" s="6" t="str">
        <f t="shared" si="9"/>
        <v/>
      </c>
      <c r="I112" s="6" t="str">
        <f t="shared" si="10"/>
        <v/>
      </c>
      <c r="L112" s="6">
        <f t="shared" si="11"/>
        <v>0</v>
      </c>
    </row>
    <row r="113" spans="2:12" x14ac:dyDescent="0.25">
      <c r="B113" s="6" t="str">
        <f>IF(A113="","",SUMIF(PEMBAYARAN!B:B,A113,PEMBAYARAN!F:F))</f>
        <v/>
      </c>
      <c r="C113" s="6" t="str">
        <f>IF(B113="","",B113*PENGATURAN!$B$21)</f>
        <v/>
      </c>
      <c r="D113" s="6" t="str">
        <f>IF(B113="","",B113*PENGATURAN!$B$22)</f>
        <v/>
      </c>
      <c r="E113" s="6" t="str">
        <f>IF(B113="","",B113*PENGATURAN!$B$23)</f>
        <v/>
      </c>
      <c r="F113" s="6" t="str">
        <f>IF(B113="","",B113*PENGATURAN!$B$24)</f>
        <v/>
      </c>
      <c r="G113" s="6" t="str">
        <f>IF(B113="","",B113*PENGATURAN!$B$25)</f>
        <v/>
      </c>
      <c r="H113" s="6" t="str">
        <f t="shared" si="9"/>
        <v/>
      </c>
      <c r="I113" s="6" t="str">
        <f t="shared" si="10"/>
        <v/>
      </c>
      <c r="L113" s="6">
        <f t="shared" si="11"/>
        <v>0</v>
      </c>
    </row>
    <row r="114" spans="2:12" x14ac:dyDescent="0.25">
      <c r="B114" s="6" t="str">
        <f>IF(A114="","",SUMIF(PEMBAYARAN!B:B,A114,PEMBAYARAN!F:F))</f>
        <v/>
      </c>
      <c r="C114" s="6" t="str">
        <f>IF(B114="","",B114*PENGATURAN!$B$21)</f>
        <v/>
      </c>
      <c r="D114" s="6" t="str">
        <f>IF(B114="","",B114*PENGATURAN!$B$22)</f>
        <v/>
      </c>
      <c r="E114" s="6" t="str">
        <f>IF(B114="","",B114*PENGATURAN!$B$23)</f>
        <v/>
      </c>
      <c r="F114" s="6" t="str">
        <f>IF(B114="","",B114*PENGATURAN!$B$24)</f>
        <v/>
      </c>
      <c r="G114" s="6" t="str">
        <f>IF(B114="","",B114*PENGATURAN!$B$25)</f>
        <v/>
      </c>
      <c r="H114" s="6" t="str">
        <f t="shared" si="9"/>
        <v/>
      </c>
      <c r="I114" s="6" t="str">
        <f t="shared" si="10"/>
        <v/>
      </c>
      <c r="L114" s="6">
        <f t="shared" si="11"/>
        <v>0</v>
      </c>
    </row>
    <row r="115" spans="2:12" x14ac:dyDescent="0.25">
      <c r="B115" s="6" t="str">
        <f>IF(A115="","",SUMIF(PEMBAYARAN!B:B,A115,PEMBAYARAN!F:F))</f>
        <v/>
      </c>
      <c r="C115" s="6" t="str">
        <f>IF(B115="","",B115*PENGATURAN!$B$21)</f>
        <v/>
      </c>
      <c r="D115" s="6" t="str">
        <f>IF(B115="","",B115*PENGATURAN!$B$22)</f>
        <v/>
      </c>
      <c r="E115" s="6" t="str">
        <f>IF(B115="","",B115*PENGATURAN!$B$23)</f>
        <v/>
      </c>
      <c r="F115" s="6" t="str">
        <f>IF(B115="","",B115*PENGATURAN!$B$24)</f>
        <v/>
      </c>
      <c r="G115" s="6" t="str">
        <f>IF(B115="","",B115*PENGATURAN!$B$25)</f>
        <v/>
      </c>
      <c r="H115" s="6" t="str">
        <f t="shared" si="9"/>
        <v/>
      </c>
      <c r="I115" s="6" t="str">
        <f t="shared" si="10"/>
        <v/>
      </c>
      <c r="L115" s="6">
        <f t="shared" si="11"/>
        <v>0</v>
      </c>
    </row>
    <row r="116" spans="2:12" x14ac:dyDescent="0.25">
      <c r="B116" s="6" t="str">
        <f>IF(A116="","",SUMIF(PEMBAYARAN!B:B,A116,PEMBAYARAN!F:F))</f>
        <v/>
      </c>
      <c r="C116" s="6" t="str">
        <f>IF(B116="","",B116*PENGATURAN!$B$21)</f>
        <v/>
      </c>
      <c r="D116" s="6" t="str">
        <f>IF(B116="","",B116*PENGATURAN!$B$22)</f>
        <v/>
      </c>
      <c r="E116" s="6" t="str">
        <f>IF(B116="","",B116*PENGATURAN!$B$23)</f>
        <v/>
      </c>
      <c r="F116" s="6" t="str">
        <f>IF(B116="","",B116*PENGATURAN!$B$24)</f>
        <v/>
      </c>
      <c r="G116" s="6" t="str">
        <f>IF(B116="","",B116*PENGATURAN!$B$25)</f>
        <v/>
      </c>
      <c r="H116" s="6" t="str">
        <f t="shared" si="9"/>
        <v/>
      </c>
      <c r="I116" s="6" t="str">
        <f t="shared" si="10"/>
        <v/>
      </c>
      <c r="L116" s="6">
        <f t="shared" si="11"/>
        <v>0</v>
      </c>
    </row>
    <row r="117" spans="2:12" x14ac:dyDescent="0.25">
      <c r="B117" s="6" t="str">
        <f>IF(A117="","",SUMIF(PEMBAYARAN!B:B,A117,PEMBAYARAN!F:F))</f>
        <v/>
      </c>
      <c r="C117" s="6" t="str">
        <f>IF(B117="","",B117*PENGATURAN!$B$21)</f>
        <v/>
      </c>
      <c r="D117" s="6" t="str">
        <f>IF(B117="","",B117*PENGATURAN!$B$22)</f>
        <v/>
      </c>
      <c r="E117" s="6" t="str">
        <f>IF(B117="","",B117*PENGATURAN!$B$23)</f>
        <v/>
      </c>
      <c r="F117" s="6" t="str">
        <f>IF(B117="","",B117*PENGATURAN!$B$24)</f>
        <v/>
      </c>
      <c r="G117" s="6" t="str">
        <f>IF(B117="","",B117*PENGATURAN!$B$25)</f>
        <v/>
      </c>
      <c r="H117" s="6" t="str">
        <f t="shared" si="9"/>
        <v/>
      </c>
      <c r="I117" s="6" t="str">
        <f t="shared" si="10"/>
        <v/>
      </c>
      <c r="L117" s="6">
        <f t="shared" si="11"/>
        <v>0</v>
      </c>
    </row>
    <row r="118" spans="2:12" x14ac:dyDescent="0.25">
      <c r="B118" s="6" t="str">
        <f>IF(A118="","",SUMIF(PEMBAYARAN!B:B,A118,PEMBAYARAN!F:F))</f>
        <v/>
      </c>
      <c r="C118" s="6" t="str">
        <f>IF(B118="","",B118*PENGATURAN!$B$21)</f>
        <v/>
      </c>
      <c r="D118" s="6" t="str">
        <f>IF(B118="","",B118*PENGATURAN!$B$22)</f>
        <v/>
      </c>
      <c r="E118" s="6" t="str">
        <f>IF(B118="","",B118*PENGATURAN!$B$23)</f>
        <v/>
      </c>
      <c r="F118" s="6" t="str">
        <f>IF(B118="","",B118*PENGATURAN!$B$24)</f>
        <v/>
      </c>
      <c r="G118" s="6" t="str">
        <f>IF(B118="","",B118*PENGATURAN!$B$25)</f>
        <v/>
      </c>
      <c r="H118" s="6" t="str">
        <f t="shared" si="9"/>
        <v/>
      </c>
      <c r="I118" s="6" t="str">
        <f t="shared" si="10"/>
        <v/>
      </c>
      <c r="L118" s="6">
        <f t="shared" si="11"/>
        <v>0</v>
      </c>
    </row>
    <row r="119" spans="2:12" x14ac:dyDescent="0.25">
      <c r="B119" s="6" t="str">
        <f>IF(A119="","",SUMIF(PEMBAYARAN!B:B,A119,PEMBAYARAN!F:F))</f>
        <v/>
      </c>
      <c r="C119" s="6" t="str">
        <f>IF(B119="","",B119*PENGATURAN!$B$21)</f>
        <v/>
      </c>
      <c r="D119" s="6" t="str">
        <f>IF(B119="","",B119*PENGATURAN!$B$22)</f>
        <v/>
      </c>
      <c r="E119" s="6" t="str">
        <f>IF(B119="","",B119*PENGATURAN!$B$23)</f>
        <v/>
      </c>
      <c r="F119" s="6" t="str">
        <f>IF(B119="","",B119*PENGATURAN!$B$24)</f>
        <v/>
      </c>
      <c r="G119" s="6" t="str">
        <f>IF(B119="","",B119*PENGATURAN!$B$25)</f>
        <v/>
      </c>
      <c r="H119" s="6" t="str">
        <f t="shared" si="9"/>
        <v/>
      </c>
      <c r="I119" s="6" t="str">
        <f t="shared" si="10"/>
        <v/>
      </c>
      <c r="L119" s="6">
        <f t="shared" si="11"/>
        <v>0</v>
      </c>
    </row>
    <row r="120" spans="2:12" x14ac:dyDescent="0.25">
      <c r="B120" s="6" t="str">
        <f>IF(A120="","",SUMIF(PEMBAYARAN!B:B,A120,PEMBAYARAN!F:F))</f>
        <v/>
      </c>
      <c r="C120" s="6" t="str">
        <f>IF(B120="","",B120*PENGATURAN!$B$21)</f>
        <v/>
      </c>
      <c r="D120" s="6" t="str">
        <f>IF(B120="","",B120*PENGATURAN!$B$22)</f>
        <v/>
      </c>
      <c r="E120" s="6" t="str">
        <f>IF(B120="","",B120*PENGATURAN!$B$23)</f>
        <v/>
      </c>
      <c r="F120" s="6" t="str">
        <f>IF(B120="","",B120*PENGATURAN!$B$24)</f>
        <v/>
      </c>
      <c r="G120" s="6" t="str">
        <f>IF(B120="","",B120*PENGATURAN!$B$25)</f>
        <v/>
      </c>
      <c r="H120" s="6" t="str">
        <f t="shared" si="9"/>
        <v/>
      </c>
      <c r="I120" s="6" t="str">
        <f t="shared" si="10"/>
        <v/>
      </c>
      <c r="L120" s="6">
        <f t="shared" si="11"/>
        <v>0</v>
      </c>
    </row>
    <row r="121" spans="2:12" x14ac:dyDescent="0.25">
      <c r="B121" s="6" t="str">
        <f>IF(A121="","",SUMIF(PEMBAYARAN!B:B,A121,PEMBAYARAN!F:F))</f>
        <v/>
      </c>
      <c r="C121" s="6" t="str">
        <f>IF(B121="","",B121*PENGATURAN!$B$21)</f>
        <v/>
      </c>
      <c r="D121" s="6" t="str">
        <f>IF(B121="","",B121*PENGATURAN!$B$22)</f>
        <v/>
      </c>
      <c r="E121" s="6" t="str">
        <f>IF(B121="","",B121*PENGATURAN!$B$23)</f>
        <v/>
      </c>
      <c r="F121" s="6" t="str">
        <f>IF(B121="","",B121*PENGATURAN!$B$24)</f>
        <v/>
      </c>
      <c r="G121" s="6" t="str">
        <f>IF(B121="","",B121*PENGATURAN!$B$25)</f>
        <v/>
      </c>
      <c r="H121" s="6" t="str">
        <f t="shared" si="9"/>
        <v/>
      </c>
      <c r="I121" s="6" t="str">
        <f t="shared" si="10"/>
        <v/>
      </c>
      <c r="L121" s="6">
        <f t="shared" si="11"/>
        <v>0</v>
      </c>
    </row>
    <row r="122" spans="2:12" x14ac:dyDescent="0.25">
      <c r="B122" s="6" t="str">
        <f>IF(A122="","",SUMIF(PEMBAYARAN!B:B,A122,PEMBAYARAN!F:F))</f>
        <v/>
      </c>
      <c r="C122" s="6" t="str">
        <f>IF(B122="","",B122*PENGATURAN!$B$21)</f>
        <v/>
      </c>
      <c r="D122" s="6" t="str">
        <f>IF(B122="","",B122*PENGATURAN!$B$22)</f>
        <v/>
      </c>
      <c r="E122" s="6" t="str">
        <f>IF(B122="","",B122*PENGATURAN!$B$23)</f>
        <v/>
      </c>
      <c r="F122" s="6" t="str">
        <f>IF(B122="","",B122*PENGATURAN!$B$24)</f>
        <v/>
      </c>
      <c r="G122" s="6" t="str">
        <f>IF(B122="","",B122*PENGATURAN!$B$25)</f>
        <v/>
      </c>
      <c r="H122" s="6" t="str">
        <f t="shared" si="9"/>
        <v/>
      </c>
      <c r="I122" s="6" t="str">
        <f t="shared" si="10"/>
        <v/>
      </c>
      <c r="L122" s="6">
        <f t="shared" si="11"/>
        <v>0</v>
      </c>
    </row>
    <row r="123" spans="2:12" x14ac:dyDescent="0.25">
      <c r="B123" s="6" t="str">
        <f>IF(A123="","",SUMIF(PEMBAYARAN!B:B,A123,PEMBAYARAN!F:F))</f>
        <v/>
      </c>
      <c r="C123" s="6" t="str">
        <f>IF(B123="","",B123*PENGATURAN!$B$21)</f>
        <v/>
      </c>
      <c r="D123" s="6" t="str">
        <f>IF(B123="","",B123*PENGATURAN!$B$22)</f>
        <v/>
      </c>
      <c r="E123" s="6" t="str">
        <f>IF(B123="","",B123*PENGATURAN!$B$23)</f>
        <v/>
      </c>
      <c r="F123" s="6" t="str">
        <f>IF(B123="","",B123*PENGATURAN!$B$24)</f>
        <v/>
      </c>
      <c r="G123" s="6" t="str">
        <f>IF(B123="","",B123*PENGATURAN!$B$25)</f>
        <v/>
      </c>
      <c r="H123" s="6" t="str">
        <f t="shared" si="9"/>
        <v/>
      </c>
      <c r="I123" s="6" t="str">
        <f t="shared" si="10"/>
        <v/>
      </c>
      <c r="L123" s="6">
        <f t="shared" si="11"/>
        <v>0</v>
      </c>
    </row>
    <row r="124" spans="2:12" x14ac:dyDescent="0.25">
      <c r="B124" s="6" t="str">
        <f>IF(A124="","",SUMIF(PEMBAYARAN!B:B,A124,PEMBAYARAN!F:F))</f>
        <v/>
      </c>
      <c r="C124" s="6" t="str">
        <f>IF(B124="","",B124*PENGATURAN!$B$21)</f>
        <v/>
      </c>
      <c r="D124" s="6" t="str">
        <f>IF(B124="","",B124*PENGATURAN!$B$22)</f>
        <v/>
      </c>
      <c r="E124" s="6" t="str">
        <f>IF(B124="","",B124*PENGATURAN!$B$23)</f>
        <v/>
      </c>
      <c r="F124" s="6" t="str">
        <f>IF(B124="","",B124*PENGATURAN!$B$24)</f>
        <v/>
      </c>
      <c r="G124" s="6" t="str">
        <f>IF(B124="","",B124*PENGATURAN!$B$25)</f>
        <v/>
      </c>
      <c r="H124" s="6" t="str">
        <f t="shared" si="9"/>
        <v/>
      </c>
      <c r="I124" s="6" t="str">
        <f t="shared" si="10"/>
        <v/>
      </c>
      <c r="L124" s="6">
        <f t="shared" si="11"/>
        <v>0</v>
      </c>
    </row>
    <row r="125" spans="2:12" x14ac:dyDescent="0.25">
      <c r="B125" s="6" t="str">
        <f>IF(A125="","",SUMIF(PEMBAYARAN!B:B,A125,PEMBAYARAN!F:F))</f>
        <v/>
      </c>
      <c r="C125" s="6" t="str">
        <f>IF(B125="","",B125*PENGATURAN!$B$21)</f>
        <v/>
      </c>
      <c r="D125" s="6" t="str">
        <f>IF(B125="","",B125*PENGATURAN!$B$22)</f>
        <v/>
      </c>
      <c r="E125" s="6" t="str">
        <f>IF(B125="","",B125*PENGATURAN!$B$23)</f>
        <v/>
      </c>
      <c r="F125" s="6" t="str">
        <f>IF(B125="","",B125*PENGATURAN!$B$24)</f>
        <v/>
      </c>
      <c r="G125" s="6" t="str">
        <f>IF(B125="","",B125*PENGATURAN!$B$25)</f>
        <v/>
      </c>
      <c r="H125" s="6" t="str">
        <f t="shared" si="9"/>
        <v/>
      </c>
      <c r="I125" s="6" t="str">
        <f t="shared" si="10"/>
        <v/>
      </c>
      <c r="L125" s="6">
        <f t="shared" si="11"/>
        <v>0</v>
      </c>
    </row>
    <row r="126" spans="2:12" x14ac:dyDescent="0.25">
      <c r="B126" s="6" t="str">
        <f>IF(A126="","",SUMIF(PEMBAYARAN!B:B,A126,PEMBAYARAN!F:F))</f>
        <v/>
      </c>
      <c r="C126" s="6" t="str">
        <f>IF(B126="","",B126*PENGATURAN!$B$21)</f>
        <v/>
      </c>
      <c r="D126" s="6" t="str">
        <f>IF(B126="","",B126*PENGATURAN!$B$22)</f>
        <v/>
      </c>
      <c r="E126" s="6" t="str">
        <f>IF(B126="","",B126*PENGATURAN!$B$23)</f>
        <v/>
      </c>
      <c r="F126" s="6" t="str">
        <f>IF(B126="","",B126*PENGATURAN!$B$24)</f>
        <v/>
      </c>
      <c r="G126" s="6" t="str">
        <f>IF(B126="","",B126*PENGATURAN!$B$25)</f>
        <v/>
      </c>
      <c r="H126" s="6" t="str">
        <f t="shared" si="9"/>
        <v/>
      </c>
      <c r="I126" s="6" t="str">
        <f t="shared" si="10"/>
        <v/>
      </c>
      <c r="L126" s="6">
        <f t="shared" si="11"/>
        <v>0</v>
      </c>
    </row>
    <row r="127" spans="2:12" x14ac:dyDescent="0.25">
      <c r="B127" s="6" t="str">
        <f>IF(A127="","",SUMIF(PEMBAYARAN!B:B,A127,PEMBAYARAN!F:F))</f>
        <v/>
      </c>
      <c r="C127" s="6" t="str">
        <f>IF(B127="","",B127*PENGATURAN!$B$21)</f>
        <v/>
      </c>
      <c r="D127" s="6" t="str">
        <f>IF(B127="","",B127*PENGATURAN!$B$22)</f>
        <v/>
      </c>
      <c r="E127" s="6" t="str">
        <f>IF(B127="","",B127*PENGATURAN!$B$23)</f>
        <v/>
      </c>
      <c r="F127" s="6" t="str">
        <f>IF(B127="","",B127*PENGATURAN!$B$24)</f>
        <v/>
      </c>
      <c r="G127" s="6" t="str">
        <f>IF(B127="","",B127*PENGATURAN!$B$25)</f>
        <v/>
      </c>
      <c r="H127" s="6" t="str">
        <f t="shared" si="9"/>
        <v/>
      </c>
      <c r="I127" s="6" t="str">
        <f t="shared" si="10"/>
        <v/>
      </c>
      <c r="L127" s="6">
        <f t="shared" si="11"/>
        <v>0</v>
      </c>
    </row>
    <row r="128" spans="2:12" x14ac:dyDescent="0.25">
      <c r="B128" s="6" t="str">
        <f>IF(A128="","",SUMIF(PEMBAYARAN!B:B,A128,PEMBAYARAN!F:F))</f>
        <v/>
      </c>
      <c r="C128" s="6" t="str">
        <f>IF(B128="","",B128*PENGATURAN!$B$21)</f>
        <v/>
      </c>
      <c r="D128" s="6" t="str">
        <f>IF(B128="","",B128*PENGATURAN!$B$22)</f>
        <v/>
      </c>
      <c r="E128" s="6" t="str">
        <f>IF(B128="","",B128*PENGATURAN!$B$23)</f>
        <v/>
      </c>
      <c r="F128" s="6" t="str">
        <f>IF(B128="","",B128*PENGATURAN!$B$24)</f>
        <v/>
      </c>
      <c r="G128" s="6" t="str">
        <f>IF(B128="","",B128*PENGATURAN!$B$25)</f>
        <v/>
      </c>
      <c r="H128" s="6" t="str">
        <f t="shared" si="9"/>
        <v/>
      </c>
      <c r="I128" s="6" t="str">
        <f t="shared" si="10"/>
        <v/>
      </c>
      <c r="L128" s="6">
        <f t="shared" si="11"/>
        <v>0</v>
      </c>
    </row>
    <row r="129" spans="2:12" x14ac:dyDescent="0.25">
      <c r="B129" s="6" t="str">
        <f>IF(A129="","",SUMIF(PEMBAYARAN!B:B,A129,PEMBAYARAN!F:F))</f>
        <v/>
      </c>
      <c r="C129" s="6" t="str">
        <f>IF(B129="","",B129*PENGATURAN!$B$21)</f>
        <v/>
      </c>
      <c r="D129" s="6" t="str">
        <f>IF(B129="","",B129*PENGATURAN!$B$22)</f>
        <v/>
      </c>
      <c r="E129" s="6" t="str">
        <f>IF(B129="","",B129*PENGATURAN!$B$23)</f>
        <v/>
      </c>
      <c r="F129" s="6" t="str">
        <f>IF(B129="","",B129*PENGATURAN!$B$24)</f>
        <v/>
      </c>
      <c r="G129" s="6" t="str">
        <f>IF(B129="","",B129*PENGATURAN!$B$25)</f>
        <v/>
      </c>
      <c r="H129" s="6" t="str">
        <f t="shared" si="9"/>
        <v/>
      </c>
      <c r="I129" s="6" t="str">
        <f t="shared" si="10"/>
        <v/>
      </c>
      <c r="L129" s="6">
        <f t="shared" si="11"/>
        <v>0</v>
      </c>
    </row>
    <row r="130" spans="2:12" x14ac:dyDescent="0.25">
      <c r="B130" s="6" t="str">
        <f>IF(A130="","",SUMIF(PEMBAYARAN!B:B,A130,PEMBAYARAN!F:F))</f>
        <v/>
      </c>
      <c r="C130" s="6" t="str">
        <f>IF(B130="","",B130*PENGATURAN!$B$21)</f>
        <v/>
      </c>
      <c r="D130" s="6" t="str">
        <f>IF(B130="","",B130*PENGATURAN!$B$22)</f>
        <v/>
      </c>
      <c r="E130" s="6" t="str">
        <f>IF(B130="","",B130*PENGATURAN!$B$23)</f>
        <v/>
      </c>
      <c r="F130" s="6" t="str">
        <f>IF(B130="","",B130*PENGATURAN!$B$24)</f>
        <v/>
      </c>
      <c r="G130" s="6" t="str">
        <f>IF(B130="","",B130*PENGATURAN!$B$25)</f>
        <v/>
      </c>
      <c r="H130" s="6" t="str">
        <f t="shared" si="9"/>
        <v/>
      </c>
      <c r="I130" s="6" t="str">
        <f t="shared" si="10"/>
        <v/>
      </c>
      <c r="L130" s="6">
        <f t="shared" si="11"/>
        <v>0</v>
      </c>
    </row>
    <row r="131" spans="2:12" x14ac:dyDescent="0.25">
      <c r="B131" s="6" t="str">
        <f>IF(A131="","",SUMIF(PEMBAYARAN!B:B,A131,PEMBAYARAN!F:F))</f>
        <v/>
      </c>
      <c r="C131" s="6" t="str">
        <f>IF(B131="","",B131*PENGATURAN!$B$21)</f>
        <v/>
      </c>
      <c r="D131" s="6" t="str">
        <f>IF(B131="","",B131*PENGATURAN!$B$22)</f>
        <v/>
      </c>
      <c r="E131" s="6" t="str">
        <f>IF(B131="","",B131*PENGATURAN!$B$23)</f>
        <v/>
      </c>
      <c r="F131" s="6" t="str">
        <f>IF(B131="","",B131*PENGATURAN!$B$24)</f>
        <v/>
      </c>
      <c r="G131" s="6" t="str">
        <f>IF(B131="","",B131*PENGATURAN!$B$25)</f>
        <v/>
      </c>
      <c r="H131" s="6" t="str">
        <f t="shared" si="9"/>
        <v/>
      </c>
      <c r="I131" s="6" t="str">
        <f t="shared" si="10"/>
        <v/>
      </c>
      <c r="L131" s="6">
        <f t="shared" si="11"/>
        <v>0</v>
      </c>
    </row>
    <row r="132" spans="2:12" x14ac:dyDescent="0.25">
      <c r="B132" s="6" t="str">
        <f>IF(A132="","",SUMIF(PEMBAYARAN!B:B,A132,PEMBAYARAN!F:F))</f>
        <v/>
      </c>
      <c r="C132" s="6" t="str">
        <f>IF(B132="","",B132*PENGATURAN!$B$21)</f>
        <v/>
      </c>
      <c r="D132" s="6" t="str">
        <f>IF(B132="","",B132*PENGATURAN!$B$22)</f>
        <v/>
      </c>
      <c r="E132" s="6" t="str">
        <f>IF(B132="","",B132*PENGATURAN!$B$23)</f>
        <v/>
      </c>
      <c r="F132" s="6" t="str">
        <f>IF(B132="","",B132*PENGATURAN!$B$24)</f>
        <v/>
      </c>
      <c r="G132" s="6" t="str">
        <f>IF(B132="","",B132*PENGATURAN!$B$25)</f>
        <v/>
      </c>
      <c r="H132" s="6" t="str">
        <f t="shared" ref="H132:H163" si="12">IF(B132="","",SUM(C132:G132))</f>
        <v/>
      </c>
      <c r="I132" s="6" t="str">
        <f t="shared" ref="I132:I163" si="13">IF(B132="","",B132-H132)</f>
        <v/>
      </c>
      <c r="L132" s="6">
        <f t="shared" ref="L132:L163" si="14">IF(OR(J132&lt;&gt;"Lunas",K132&lt;&gt;"Tercukupi"),0,I132)</f>
        <v>0</v>
      </c>
    </row>
    <row r="133" spans="2:12" x14ac:dyDescent="0.25">
      <c r="B133" s="6" t="str">
        <f>IF(A133="","",SUMIF(PEMBAYARAN!B:B,A133,PEMBAYARAN!F:F))</f>
        <v/>
      </c>
      <c r="C133" s="6" t="str">
        <f>IF(B133="","",B133*PENGATURAN!$B$21)</f>
        <v/>
      </c>
      <c r="D133" s="6" t="str">
        <f>IF(B133="","",B133*PENGATURAN!$B$22)</f>
        <v/>
      </c>
      <c r="E133" s="6" t="str">
        <f>IF(B133="","",B133*PENGATURAN!$B$23)</f>
        <v/>
      </c>
      <c r="F133" s="6" t="str">
        <f>IF(B133="","",B133*PENGATURAN!$B$24)</f>
        <v/>
      </c>
      <c r="G133" s="6" t="str">
        <f>IF(B133="","",B133*PENGATURAN!$B$25)</f>
        <v/>
      </c>
      <c r="H133" s="6" t="str">
        <f t="shared" si="12"/>
        <v/>
      </c>
      <c r="I133" s="6" t="str">
        <f t="shared" si="13"/>
        <v/>
      </c>
      <c r="L133" s="6">
        <f t="shared" si="14"/>
        <v>0</v>
      </c>
    </row>
    <row r="134" spans="2:12" x14ac:dyDescent="0.25">
      <c r="B134" s="6" t="str">
        <f>IF(A134="","",SUMIF(PEMBAYARAN!B:B,A134,PEMBAYARAN!F:F))</f>
        <v/>
      </c>
      <c r="C134" s="6" t="str">
        <f>IF(B134="","",B134*PENGATURAN!$B$21)</f>
        <v/>
      </c>
      <c r="D134" s="6" t="str">
        <f>IF(B134="","",B134*PENGATURAN!$B$22)</f>
        <v/>
      </c>
      <c r="E134" s="6" t="str">
        <f>IF(B134="","",B134*PENGATURAN!$B$23)</f>
        <v/>
      </c>
      <c r="F134" s="6" t="str">
        <f>IF(B134="","",B134*PENGATURAN!$B$24)</f>
        <v/>
      </c>
      <c r="G134" s="6" t="str">
        <f>IF(B134="","",B134*PENGATURAN!$B$25)</f>
        <v/>
      </c>
      <c r="H134" s="6" t="str">
        <f t="shared" si="12"/>
        <v/>
      </c>
      <c r="I134" s="6" t="str">
        <f t="shared" si="13"/>
        <v/>
      </c>
      <c r="L134" s="6">
        <f t="shared" si="14"/>
        <v>0</v>
      </c>
    </row>
    <row r="135" spans="2:12" x14ac:dyDescent="0.25">
      <c r="B135" s="6" t="str">
        <f>IF(A135="","",SUMIF(PEMBAYARAN!B:B,A135,PEMBAYARAN!F:F))</f>
        <v/>
      </c>
      <c r="C135" s="6" t="str">
        <f>IF(B135="","",B135*PENGATURAN!$B$21)</f>
        <v/>
      </c>
      <c r="D135" s="6" t="str">
        <f>IF(B135="","",B135*PENGATURAN!$B$22)</f>
        <v/>
      </c>
      <c r="E135" s="6" t="str">
        <f>IF(B135="","",B135*PENGATURAN!$B$23)</f>
        <v/>
      </c>
      <c r="F135" s="6" t="str">
        <f>IF(B135="","",B135*PENGATURAN!$B$24)</f>
        <v/>
      </c>
      <c r="G135" s="6" t="str">
        <f>IF(B135="","",B135*PENGATURAN!$B$25)</f>
        <v/>
      </c>
      <c r="H135" s="6" t="str">
        <f t="shared" si="12"/>
        <v/>
      </c>
      <c r="I135" s="6" t="str">
        <f t="shared" si="13"/>
        <v/>
      </c>
      <c r="L135" s="6">
        <f t="shared" si="14"/>
        <v>0</v>
      </c>
    </row>
    <row r="136" spans="2:12" x14ac:dyDescent="0.25">
      <c r="B136" s="6" t="str">
        <f>IF(A136="","",SUMIF(PEMBAYARAN!B:B,A136,PEMBAYARAN!F:F))</f>
        <v/>
      </c>
      <c r="C136" s="6" t="str">
        <f>IF(B136="","",B136*PENGATURAN!$B$21)</f>
        <v/>
      </c>
      <c r="D136" s="6" t="str">
        <f>IF(B136="","",B136*PENGATURAN!$B$22)</f>
        <v/>
      </c>
      <c r="E136" s="6" t="str">
        <f>IF(B136="","",B136*PENGATURAN!$B$23)</f>
        <v/>
      </c>
      <c r="F136" s="6" t="str">
        <f>IF(B136="","",B136*PENGATURAN!$B$24)</f>
        <v/>
      </c>
      <c r="G136" s="6" t="str">
        <f>IF(B136="","",B136*PENGATURAN!$B$25)</f>
        <v/>
      </c>
      <c r="H136" s="6" t="str">
        <f t="shared" si="12"/>
        <v/>
      </c>
      <c r="I136" s="6" t="str">
        <f t="shared" si="13"/>
        <v/>
      </c>
      <c r="L136" s="6">
        <f t="shared" si="14"/>
        <v>0</v>
      </c>
    </row>
    <row r="137" spans="2:12" x14ac:dyDescent="0.25">
      <c r="B137" s="6" t="str">
        <f>IF(A137="","",SUMIF(PEMBAYARAN!B:B,A137,PEMBAYARAN!F:F))</f>
        <v/>
      </c>
      <c r="C137" s="6" t="str">
        <f>IF(B137="","",B137*PENGATURAN!$B$21)</f>
        <v/>
      </c>
      <c r="D137" s="6" t="str">
        <f>IF(B137="","",B137*PENGATURAN!$B$22)</f>
        <v/>
      </c>
      <c r="E137" s="6" t="str">
        <f>IF(B137="","",B137*PENGATURAN!$B$23)</f>
        <v/>
      </c>
      <c r="F137" s="6" t="str">
        <f>IF(B137="","",B137*PENGATURAN!$B$24)</f>
        <v/>
      </c>
      <c r="G137" s="6" t="str">
        <f>IF(B137="","",B137*PENGATURAN!$B$25)</f>
        <v/>
      </c>
      <c r="H137" s="6" t="str">
        <f t="shared" si="12"/>
        <v/>
      </c>
      <c r="I137" s="6" t="str">
        <f t="shared" si="13"/>
        <v/>
      </c>
      <c r="L137" s="6">
        <f t="shared" si="14"/>
        <v>0</v>
      </c>
    </row>
    <row r="138" spans="2:12" x14ac:dyDescent="0.25">
      <c r="B138" s="6" t="str">
        <f>IF(A138="","",SUMIF(PEMBAYARAN!B:B,A138,PEMBAYARAN!F:F))</f>
        <v/>
      </c>
      <c r="C138" s="6" t="str">
        <f>IF(B138="","",B138*PENGATURAN!$B$21)</f>
        <v/>
      </c>
      <c r="D138" s="6" t="str">
        <f>IF(B138="","",B138*PENGATURAN!$B$22)</f>
        <v/>
      </c>
      <c r="E138" s="6" t="str">
        <f>IF(B138="","",B138*PENGATURAN!$B$23)</f>
        <v/>
      </c>
      <c r="F138" s="6" t="str">
        <f>IF(B138="","",B138*PENGATURAN!$B$24)</f>
        <v/>
      </c>
      <c r="G138" s="6" t="str">
        <f>IF(B138="","",B138*PENGATURAN!$B$25)</f>
        <v/>
      </c>
      <c r="H138" s="6" t="str">
        <f t="shared" si="12"/>
        <v/>
      </c>
      <c r="I138" s="6" t="str">
        <f t="shared" si="13"/>
        <v/>
      </c>
      <c r="L138" s="6">
        <f t="shared" si="14"/>
        <v>0</v>
      </c>
    </row>
    <row r="139" spans="2:12" x14ac:dyDescent="0.25">
      <c r="B139" s="6" t="str">
        <f>IF(A139="","",SUMIF(PEMBAYARAN!B:B,A139,PEMBAYARAN!F:F))</f>
        <v/>
      </c>
      <c r="C139" s="6" t="str">
        <f>IF(B139="","",B139*PENGATURAN!$B$21)</f>
        <v/>
      </c>
      <c r="D139" s="6" t="str">
        <f>IF(B139="","",B139*PENGATURAN!$B$22)</f>
        <v/>
      </c>
      <c r="E139" s="6" t="str">
        <f>IF(B139="","",B139*PENGATURAN!$B$23)</f>
        <v/>
      </c>
      <c r="F139" s="6" t="str">
        <f>IF(B139="","",B139*PENGATURAN!$B$24)</f>
        <v/>
      </c>
      <c r="G139" s="6" t="str">
        <f>IF(B139="","",B139*PENGATURAN!$B$25)</f>
        <v/>
      </c>
      <c r="H139" s="6" t="str">
        <f t="shared" si="12"/>
        <v/>
      </c>
      <c r="I139" s="6" t="str">
        <f t="shared" si="13"/>
        <v/>
      </c>
      <c r="L139" s="6">
        <f t="shared" si="14"/>
        <v>0</v>
      </c>
    </row>
    <row r="140" spans="2:12" x14ac:dyDescent="0.25">
      <c r="B140" s="6" t="str">
        <f>IF(A140="","",SUMIF(PEMBAYARAN!B:B,A140,PEMBAYARAN!F:F))</f>
        <v/>
      </c>
      <c r="C140" s="6" t="str">
        <f>IF(B140="","",B140*PENGATURAN!$B$21)</f>
        <v/>
      </c>
      <c r="D140" s="6" t="str">
        <f>IF(B140="","",B140*PENGATURAN!$B$22)</f>
        <v/>
      </c>
      <c r="E140" s="6" t="str">
        <f>IF(B140="","",B140*PENGATURAN!$B$23)</f>
        <v/>
      </c>
      <c r="F140" s="6" t="str">
        <f>IF(B140="","",B140*PENGATURAN!$B$24)</f>
        <v/>
      </c>
      <c r="G140" s="6" t="str">
        <f>IF(B140="","",B140*PENGATURAN!$B$25)</f>
        <v/>
      </c>
      <c r="H140" s="6" t="str">
        <f t="shared" si="12"/>
        <v/>
      </c>
      <c r="I140" s="6" t="str">
        <f t="shared" si="13"/>
        <v/>
      </c>
      <c r="L140" s="6">
        <f t="shared" si="14"/>
        <v>0</v>
      </c>
    </row>
    <row r="141" spans="2:12" x14ac:dyDescent="0.25">
      <c r="B141" s="6" t="str">
        <f>IF(A141="","",SUMIF(PEMBAYARAN!B:B,A141,PEMBAYARAN!F:F))</f>
        <v/>
      </c>
      <c r="C141" s="6" t="str">
        <f>IF(B141="","",B141*PENGATURAN!$B$21)</f>
        <v/>
      </c>
      <c r="D141" s="6" t="str">
        <f>IF(B141="","",B141*PENGATURAN!$B$22)</f>
        <v/>
      </c>
      <c r="E141" s="6" t="str">
        <f>IF(B141="","",B141*PENGATURAN!$B$23)</f>
        <v/>
      </c>
      <c r="F141" s="6" t="str">
        <f>IF(B141="","",B141*PENGATURAN!$B$24)</f>
        <v/>
      </c>
      <c r="G141" s="6" t="str">
        <f>IF(B141="","",B141*PENGATURAN!$B$25)</f>
        <v/>
      </c>
      <c r="H141" s="6" t="str">
        <f t="shared" si="12"/>
        <v/>
      </c>
      <c r="I141" s="6" t="str">
        <f t="shared" si="13"/>
        <v/>
      </c>
      <c r="L141" s="6">
        <f t="shared" si="14"/>
        <v>0</v>
      </c>
    </row>
    <row r="142" spans="2:12" x14ac:dyDescent="0.25">
      <c r="B142" s="6" t="str">
        <f>IF(A142="","",SUMIF(PEMBAYARAN!B:B,A142,PEMBAYARAN!F:F))</f>
        <v/>
      </c>
      <c r="C142" s="6" t="str">
        <f>IF(B142="","",B142*PENGATURAN!$B$21)</f>
        <v/>
      </c>
      <c r="D142" s="6" t="str">
        <f>IF(B142="","",B142*PENGATURAN!$B$22)</f>
        <v/>
      </c>
      <c r="E142" s="6" t="str">
        <f>IF(B142="","",B142*PENGATURAN!$B$23)</f>
        <v/>
      </c>
      <c r="F142" s="6" t="str">
        <f>IF(B142="","",B142*PENGATURAN!$B$24)</f>
        <v/>
      </c>
      <c r="G142" s="6" t="str">
        <f>IF(B142="","",B142*PENGATURAN!$B$25)</f>
        <v/>
      </c>
      <c r="H142" s="6" t="str">
        <f t="shared" si="12"/>
        <v/>
      </c>
      <c r="I142" s="6" t="str">
        <f t="shared" si="13"/>
        <v/>
      </c>
      <c r="L142" s="6">
        <f t="shared" si="14"/>
        <v>0</v>
      </c>
    </row>
    <row r="143" spans="2:12" x14ac:dyDescent="0.25">
      <c r="B143" s="6" t="str">
        <f>IF(A143="","",SUMIF(PEMBAYARAN!B:B,A143,PEMBAYARAN!F:F))</f>
        <v/>
      </c>
      <c r="C143" s="6" t="str">
        <f>IF(B143="","",B143*PENGATURAN!$B$21)</f>
        <v/>
      </c>
      <c r="D143" s="6" t="str">
        <f>IF(B143="","",B143*PENGATURAN!$B$22)</f>
        <v/>
      </c>
      <c r="E143" s="6" t="str">
        <f>IF(B143="","",B143*PENGATURAN!$B$23)</f>
        <v/>
      </c>
      <c r="F143" s="6" t="str">
        <f>IF(B143="","",B143*PENGATURAN!$B$24)</f>
        <v/>
      </c>
      <c r="G143" s="6" t="str">
        <f>IF(B143="","",B143*PENGATURAN!$B$25)</f>
        <v/>
      </c>
      <c r="H143" s="6" t="str">
        <f t="shared" si="12"/>
        <v/>
      </c>
      <c r="I143" s="6" t="str">
        <f t="shared" si="13"/>
        <v/>
      </c>
      <c r="L143" s="6">
        <f t="shared" si="14"/>
        <v>0</v>
      </c>
    </row>
    <row r="144" spans="2:12" x14ac:dyDescent="0.25">
      <c r="B144" s="6" t="str">
        <f>IF(A144="","",SUMIF(PEMBAYARAN!B:B,A144,PEMBAYARAN!F:F))</f>
        <v/>
      </c>
      <c r="C144" s="6" t="str">
        <f>IF(B144="","",B144*PENGATURAN!$B$21)</f>
        <v/>
      </c>
      <c r="D144" s="6" t="str">
        <f>IF(B144="","",B144*PENGATURAN!$B$22)</f>
        <v/>
      </c>
      <c r="E144" s="6" t="str">
        <f>IF(B144="","",B144*PENGATURAN!$B$23)</f>
        <v/>
      </c>
      <c r="F144" s="6" t="str">
        <f>IF(B144="","",B144*PENGATURAN!$B$24)</f>
        <v/>
      </c>
      <c r="G144" s="6" t="str">
        <f>IF(B144="","",B144*PENGATURAN!$B$25)</f>
        <v/>
      </c>
      <c r="H144" s="6" t="str">
        <f t="shared" si="12"/>
        <v/>
      </c>
      <c r="I144" s="6" t="str">
        <f t="shared" si="13"/>
        <v/>
      </c>
      <c r="L144" s="6">
        <f t="shared" si="14"/>
        <v>0</v>
      </c>
    </row>
    <row r="145" spans="2:12" x14ac:dyDescent="0.25">
      <c r="B145" s="6" t="str">
        <f>IF(A145="","",SUMIF(PEMBAYARAN!B:B,A145,PEMBAYARAN!F:F))</f>
        <v/>
      </c>
      <c r="C145" s="6" t="str">
        <f>IF(B145="","",B145*PENGATURAN!$B$21)</f>
        <v/>
      </c>
      <c r="D145" s="6" t="str">
        <f>IF(B145="","",B145*PENGATURAN!$B$22)</f>
        <v/>
      </c>
      <c r="E145" s="6" t="str">
        <f>IF(B145="","",B145*PENGATURAN!$B$23)</f>
        <v/>
      </c>
      <c r="F145" s="6" t="str">
        <f>IF(B145="","",B145*PENGATURAN!$B$24)</f>
        <v/>
      </c>
      <c r="G145" s="6" t="str">
        <f>IF(B145="","",B145*PENGATURAN!$B$25)</f>
        <v/>
      </c>
      <c r="H145" s="6" t="str">
        <f t="shared" si="12"/>
        <v/>
      </c>
      <c r="I145" s="6" t="str">
        <f t="shared" si="13"/>
        <v/>
      </c>
      <c r="L145" s="6">
        <f t="shared" si="14"/>
        <v>0</v>
      </c>
    </row>
    <row r="146" spans="2:12" x14ac:dyDescent="0.25">
      <c r="B146" s="6" t="str">
        <f>IF(A146="","",SUMIF(PEMBAYARAN!B:B,A146,PEMBAYARAN!F:F))</f>
        <v/>
      </c>
      <c r="C146" s="6" t="str">
        <f>IF(B146="","",B146*PENGATURAN!$B$21)</f>
        <v/>
      </c>
      <c r="D146" s="6" t="str">
        <f>IF(B146="","",B146*PENGATURAN!$B$22)</f>
        <v/>
      </c>
      <c r="E146" s="6" t="str">
        <f>IF(B146="","",B146*PENGATURAN!$B$23)</f>
        <v/>
      </c>
      <c r="F146" s="6" t="str">
        <f>IF(B146="","",B146*PENGATURAN!$B$24)</f>
        <v/>
      </c>
      <c r="G146" s="6" t="str">
        <f>IF(B146="","",B146*PENGATURAN!$B$25)</f>
        <v/>
      </c>
      <c r="H146" s="6" t="str">
        <f t="shared" si="12"/>
        <v/>
      </c>
      <c r="I146" s="6" t="str">
        <f t="shared" si="13"/>
        <v/>
      </c>
      <c r="L146" s="6">
        <f t="shared" si="14"/>
        <v>0</v>
      </c>
    </row>
    <row r="147" spans="2:12" x14ac:dyDescent="0.25">
      <c r="B147" s="6" t="str">
        <f>IF(A147="","",SUMIF(PEMBAYARAN!B:B,A147,PEMBAYARAN!F:F))</f>
        <v/>
      </c>
      <c r="C147" s="6" t="str">
        <f>IF(B147="","",B147*PENGATURAN!$B$21)</f>
        <v/>
      </c>
      <c r="D147" s="6" t="str">
        <f>IF(B147="","",B147*PENGATURAN!$B$22)</f>
        <v/>
      </c>
      <c r="E147" s="6" t="str">
        <f>IF(B147="","",B147*PENGATURAN!$B$23)</f>
        <v/>
      </c>
      <c r="F147" s="6" t="str">
        <f>IF(B147="","",B147*PENGATURAN!$B$24)</f>
        <v/>
      </c>
      <c r="G147" s="6" t="str">
        <f>IF(B147="","",B147*PENGATURAN!$B$25)</f>
        <v/>
      </c>
      <c r="H147" s="6" t="str">
        <f t="shared" si="12"/>
        <v/>
      </c>
      <c r="I147" s="6" t="str">
        <f t="shared" si="13"/>
        <v/>
      </c>
      <c r="L147" s="6">
        <f t="shared" si="14"/>
        <v>0</v>
      </c>
    </row>
    <row r="148" spans="2:12" x14ac:dyDescent="0.25">
      <c r="B148" s="6" t="str">
        <f>IF(A148="","",SUMIF(PEMBAYARAN!B:B,A148,PEMBAYARAN!F:F))</f>
        <v/>
      </c>
      <c r="C148" s="6" t="str">
        <f>IF(B148="","",B148*PENGATURAN!$B$21)</f>
        <v/>
      </c>
      <c r="D148" s="6" t="str">
        <f>IF(B148="","",B148*PENGATURAN!$B$22)</f>
        <v/>
      </c>
      <c r="E148" s="6" t="str">
        <f>IF(B148="","",B148*PENGATURAN!$B$23)</f>
        <v/>
      </c>
      <c r="F148" s="6" t="str">
        <f>IF(B148="","",B148*PENGATURAN!$B$24)</f>
        <v/>
      </c>
      <c r="G148" s="6" t="str">
        <f>IF(B148="","",B148*PENGATURAN!$B$25)</f>
        <v/>
      </c>
      <c r="H148" s="6" t="str">
        <f t="shared" si="12"/>
        <v/>
      </c>
      <c r="I148" s="6" t="str">
        <f t="shared" si="13"/>
        <v/>
      </c>
      <c r="L148" s="6">
        <f t="shared" si="14"/>
        <v>0</v>
      </c>
    </row>
    <row r="149" spans="2:12" x14ac:dyDescent="0.25">
      <c r="B149" s="6" t="str">
        <f>IF(A149="","",SUMIF(PEMBAYARAN!B:B,A149,PEMBAYARAN!F:F))</f>
        <v/>
      </c>
      <c r="C149" s="6" t="str">
        <f>IF(B149="","",B149*PENGATURAN!$B$21)</f>
        <v/>
      </c>
      <c r="D149" s="6" t="str">
        <f>IF(B149="","",B149*PENGATURAN!$B$22)</f>
        <v/>
      </c>
      <c r="E149" s="6" t="str">
        <f>IF(B149="","",B149*PENGATURAN!$B$23)</f>
        <v/>
      </c>
      <c r="F149" s="6" t="str">
        <f>IF(B149="","",B149*PENGATURAN!$B$24)</f>
        <v/>
      </c>
      <c r="G149" s="6" t="str">
        <f>IF(B149="","",B149*PENGATURAN!$B$25)</f>
        <v/>
      </c>
      <c r="H149" s="6" t="str">
        <f t="shared" si="12"/>
        <v/>
      </c>
      <c r="I149" s="6" t="str">
        <f t="shared" si="13"/>
        <v/>
      </c>
      <c r="L149" s="6">
        <f t="shared" si="14"/>
        <v>0</v>
      </c>
    </row>
    <row r="150" spans="2:12" x14ac:dyDescent="0.25">
      <c r="B150" s="6" t="str">
        <f>IF(A150="","",SUMIF(PEMBAYARAN!B:B,A150,PEMBAYARAN!F:F))</f>
        <v/>
      </c>
      <c r="C150" s="6" t="str">
        <f>IF(B150="","",B150*PENGATURAN!$B$21)</f>
        <v/>
      </c>
      <c r="D150" s="6" t="str">
        <f>IF(B150="","",B150*PENGATURAN!$B$22)</f>
        <v/>
      </c>
      <c r="E150" s="6" t="str">
        <f>IF(B150="","",B150*PENGATURAN!$B$23)</f>
        <v/>
      </c>
      <c r="F150" s="6" t="str">
        <f>IF(B150="","",B150*PENGATURAN!$B$24)</f>
        <v/>
      </c>
      <c r="G150" s="6" t="str">
        <f>IF(B150="","",B150*PENGATURAN!$B$25)</f>
        <v/>
      </c>
      <c r="H150" s="6" t="str">
        <f t="shared" si="12"/>
        <v/>
      </c>
      <c r="I150" s="6" t="str">
        <f t="shared" si="13"/>
        <v/>
      </c>
      <c r="L150" s="6">
        <f t="shared" si="14"/>
        <v>0</v>
      </c>
    </row>
    <row r="151" spans="2:12" x14ac:dyDescent="0.25">
      <c r="B151" s="6" t="str">
        <f>IF(A151="","",SUMIF(PEMBAYARAN!B:B,A151,PEMBAYARAN!F:F))</f>
        <v/>
      </c>
      <c r="C151" s="6" t="str">
        <f>IF(B151="","",B151*PENGATURAN!$B$21)</f>
        <v/>
      </c>
      <c r="D151" s="6" t="str">
        <f>IF(B151="","",B151*PENGATURAN!$B$22)</f>
        <v/>
      </c>
      <c r="E151" s="6" t="str">
        <f>IF(B151="","",B151*PENGATURAN!$B$23)</f>
        <v/>
      </c>
      <c r="F151" s="6" t="str">
        <f>IF(B151="","",B151*PENGATURAN!$B$24)</f>
        <v/>
      </c>
      <c r="G151" s="6" t="str">
        <f>IF(B151="","",B151*PENGATURAN!$B$25)</f>
        <v/>
      </c>
      <c r="H151" s="6" t="str">
        <f t="shared" si="12"/>
        <v/>
      </c>
      <c r="I151" s="6" t="str">
        <f t="shared" si="13"/>
        <v/>
      </c>
      <c r="L151" s="6">
        <f t="shared" si="14"/>
        <v>0</v>
      </c>
    </row>
    <row r="152" spans="2:12" x14ac:dyDescent="0.25">
      <c r="B152" s="6" t="str">
        <f>IF(A152="","",SUMIF(PEMBAYARAN!B:B,A152,PEMBAYARAN!F:F))</f>
        <v/>
      </c>
      <c r="C152" s="6" t="str">
        <f>IF(B152="","",B152*PENGATURAN!$B$21)</f>
        <v/>
      </c>
      <c r="D152" s="6" t="str">
        <f>IF(B152="","",B152*PENGATURAN!$B$22)</f>
        <v/>
      </c>
      <c r="E152" s="6" t="str">
        <f>IF(B152="","",B152*PENGATURAN!$B$23)</f>
        <v/>
      </c>
      <c r="F152" s="6" t="str">
        <f>IF(B152="","",B152*PENGATURAN!$B$24)</f>
        <v/>
      </c>
      <c r="G152" s="6" t="str">
        <f>IF(B152="","",B152*PENGATURAN!$B$25)</f>
        <v/>
      </c>
      <c r="H152" s="6" t="str">
        <f t="shared" si="12"/>
        <v/>
      </c>
      <c r="I152" s="6" t="str">
        <f t="shared" si="13"/>
        <v/>
      </c>
      <c r="L152" s="6">
        <f t="shared" si="14"/>
        <v>0</v>
      </c>
    </row>
    <row r="153" spans="2:12" x14ac:dyDescent="0.25">
      <c r="B153" s="6" t="str">
        <f>IF(A153="","",SUMIF(PEMBAYARAN!B:B,A153,PEMBAYARAN!F:F))</f>
        <v/>
      </c>
      <c r="C153" s="6" t="str">
        <f>IF(B153="","",B153*PENGATURAN!$B$21)</f>
        <v/>
      </c>
      <c r="D153" s="6" t="str">
        <f>IF(B153="","",B153*PENGATURAN!$B$22)</f>
        <v/>
      </c>
      <c r="E153" s="6" t="str">
        <f>IF(B153="","",B153*PENGATURAN!$B$23)</f>
        <v/>
      </c>
      <c r="F153" s="6" t="str">
        <f>IF(B153="","",B153*PENGATURAN!$B$24)</f>
        <v/>
      </c>
      <c r="G153" s="6" t="str">
        <f>IF(B153="","",B153*PENGATURAN!$B$25)</f>
        <v/>
      </c>
      <c r="H153" s="6" t="str">
        <f t="shared" si="12"/>
        <v/>
      </c>
      <c r="I153" s="6" t="str">
        <f t="shared" si="13"/>
        <v/>
      </c>
      <c r="L153" s="6">
        <f t="shared" si="14"/>
        <v>0</v>
      </c>
    </row>
    <row r="154" spans="2:12" x14ac:dyDescent="0.25">
      <c r="B154" s="6" t="str">
        <f>IF(A154="","",SUMIF(PEMBAYARAN!B:B,A154,PEMBAYARAN!F:F))</f>
        <v/>
      </c>
      <c r="C154" s="6" t="str">
        <f>IF(B154="","",B154*PENGATURAN!$B$21)</f>
        <v/>
      </c>
      <c r="D154" s="6" t="str">
        <f>IF(B154="","",B154*PENGATURAN!$B$22)</f>
        <v/>
      </c>
      <c r="E154" s="6" t="str">
        <f>IF(B154="","",B154*PENGATURAN!$B$23)</f>
        <v/>
      </c>
      <c r="F154" s="6" t="str">
        <f>IF(B154="","",B154*PENGATURAN!$B$24)</f>
        <v/>
      </c>
      <c r="G154" s="6" t="str">
        <f>IF(B154="","",B154*PENGATURAN!$B$25)</f>
        <v/>
      </c>
      <c r="H154" s="6" t="str">
        <f t="shared" si="12"/>
        <v/>
      </c>
      <c r="I154" s="6" t="str">
        <f t="shared" si="13"/>
        <v/>
      </c>
      <c r="L154" s="6">
        <f t="shared" si="14"/>
        <v>0</v>
      </c>
    </row>
    <row r="155" spans="2:12" x14ac:dyDescent="0.25">
      <c r="B155" s="6" t="str">
        <f>IF(A155="","",SUMIF(PEMBAYARAN!B:B,A155,PEMBAYARAN!F:F))</f>
        <v/>
      </c>
      <c r="C155" s="6" t="str">
        <f>IF(B155="","",B155*PENGATURAN!$B$21)</f>
        <v/>
      </c>
      <c r="D155" s="6" t="str">
        <f>IF(B155="","",B155*PENGATURAN!$B$22)</f>
        <v/>
      </c>
      <c r="E155" s="6" t="str">
        <f>IF(B155="","",B155*PENGATURAN!$B$23)</f>
        <v/>
      </c>
      <c r="F155" s="6" t="str">
        <f>IF(B155="","",B155*PENGATURAN!$B$24)</f>
        <v/>
      </c>
      <c r="G155" s="6" t="str">
        <f>IF(B155="","",B155*PENGATURAN!$B$25)</f>
        <v/>
      </c>
      <c r="H155" s="6" t="str">
        <f t="shared" si="12"/>
        <v/>
      </c>
      <c r="I155" s="6" t="str">
        <f t="shared" si="13"/>
        <v/>
      </c>
      <c r="L155" s="6">
        <f t="shared" si="14"/>
        <v>0</v>
      </c>
    </row>
    <row r="156" spans="2:12" x14ac:dyDescent="0.25">
      <c r="B156" s="6" t="str">
        <f>IF(A156="","",SUMIF(PEMBAYARAN!B:B,A156,PEMBAYARAN!F:F))</f>
        <v/>
      </c>
      <c r="C156" s="6" t="str">
        <f>IF(B156="","",B156*PENGATURAN!$B$21)</f>
        <v/>
      </c>
      <c r="D156" s="6" t="str">
        <f>IF(B156="","",B156*PENGATURAN!$B$22)</f>
        <v/>
      </c>
      <c r="E156" s="6" t="str">
        <f>IF(B156="","",B156*PENGATURAN!$B$23)</f>
        <v/>
      </c>
      <c r="F156" s="6" t="str">
        <f>IF(B156="","",B156*PENGATURAN!$B$24)</f>
        <v/>
      </c>
      <c r="G156" s="6" t="str">
        <f>IF(B156="","",B156*PENGATURAN!$B$25)</f>
        <v/>
      </c>
      <c r="H156" s="6" t="str">
        <f t="shared" si="12"/>
        <v/>
      </c>
      <c r="I156" s="6" t="str">
        <f t="shared" si="13"/>
        <v/>
      </c>
      <c r="L156" s="6">
        <f t="shared" si="14"/>
        <v>0</v>
      </c>
    </row>
    <row r="157" spans="2:12" x14ac:dyDescent="0.25">
      <c r="B157" s="6" t="str">
        <f>IF(A157="","",SUMIF(PEMBAYARAN!B:B,A157,PEMBAYARAN!F:F))</f>
        <v/>
      </c>
      <c r="C157" s="6" t="str">
        <f>IF(B157="","",B157*PENGATURAN!$B$21)</f>
        <v/>
      </c>
      <c r="D157" s="6" t="str">
        <f>IF(B157="","",B157*PENGATURAN!$B$22)</f>
        <v/>
      </c>
      <c r="E157" s="6" t="str">
        <f>IF(B157="","",B157*PENGATURAN!$B$23)</f>
        <v/>
      </c>
      <c r="F157" s="6" t="str">
        <f>IF(B157="","",B157*PENGATURAN!$B$24)</f>
        <v/>
      </c>
      <c r="G157" s="6" t="str">
        <f>IF(B157="","",B157*PENGATURAN!$B$25)</f>
        <v/>
      </c>
      <c r="H157" s="6" t="str">
        <f t="shared" si="12"/>
        <v/>
      </c>
      <c r="I157" s="6" t="str">
        <f t="shared" si="13"/>
        <v/>
      </c>
      <c r="L157" s="6">
        <f t="shared" si="14"/>
        <v>0</v>
      </c>
    </row>
    <row r="158" spans="2:12" x14ac:dyDescent="0.25">
      <c r="B158" s="6" t="str">
        <f>IF(A158="","",SUMIF(PEMBAYARAN!B:B,A158,PEMBAYARAN!F:F))</f>
        <v/>
      </c>
      <c r="C158" s="6" t="str">
        <f>IF(B158="","",B158*PENGATURAN!$B$21)</f>
        <v/>
      </c>
      <c r="D158" s="6" t="str">
        <f>IF(B158="","",B158*PENGATURAN!$B$22)</f>
        <v/>
      </c>
      <c r="E158" s="6" t="str">
        <f>IF(B158="","",B158*PENGATURAN!$B$23)</f>
        <v/>
      </c>
      <c r="F158" s="6" t="str">
        <f>IF(B158="","",B158*PENGATURAN!$B$24)</f>
        <v/>
      </c>
      <c r="G158" s="6" t="str">
        <f>IF(B158="","",B158*PENGATURAN!$B$25)</f>
        <v/>
      </c>
      <c r="H158" s="6" t="str">
        <f t="shared" si="12"/>
        <v/>
      </c>
      <c r="I158" s="6" t="str">
        <f t="shared" si="13"/>
        <v/>
      </c>
      <c r="L158" s="6">
        <f t="shared" si="14"/>
        <v>0</v>
      </c>
    </row>
    <row r="159" spans="2:12" x14ac:dyDescent="0.25">
      <c r="B159" s="6" t="str">
        <f>IF(A159="","",SUMIF(PEMBAYARAN!B:B,A159,PEMBAYARAN!F:F))</f>
        <v/>
      </c>
      <c r="C159" s="6" t="str">
        <f>IF(B159="","",B159*PENGATURAN!$B$21)</f>
        <v/>
      </c>
      <c r="D159" s="6" t="str">
        <f>IF(B159="","",B159*PENGATURAN!$B$22)</f>
        <v/>
      </c>
      <c r="E159" s="6" t="str">
        <f>IF(B159="","",B159*PENGATURAN!$B$23)</f>
        <v/>
      </c>
      <c r="F159" s="6" t="str">
        <f>IF(B159="","",B159*PENGATURAN!$B$24)</f>
        <v/>
      </c>
      <c r="G159" s="6" t="str">
        <f>IF(B159="","",B159*PENGATURAN!$B$25)</f>
        <v/>
      </c>
      <c r="H159" s="6" t="str">
        <f t="shared" si="12"/>
        <v/>
      </c>
      <c r="I159" s="6" t="str">
        <f t="shared" si="13"/>
        <v/>
      </c>
      <c r="L159" s="6">
        <f t="shared" si="14"/>
        <v>0</v>
      </c>
    </row>
    <row r="160" spans="2:12" x14ac:dyDescent="0.25">
      <c r="B160" s="6" t="str">
        <f>IF(A160="","",SUMIF(PEMBAYARAN!B:B,A160,PEMBAYARAN!F:F))</f>
        <v/>
      </c>
      <c r="C160" s="6" t="str">
        <f>IF(B160="","",B160*PENGATURAN!$B$21)</f>
        <v/>
      </c>
      <c r="D160" s="6" t="str">
        <f>IF(B160="","",B160*PENGATURAN!$B$22)</f>
        <v/>
      </c>
      <c r="E160" s="6" t="str">
        <f>IF(B160="","",B160*PENGATURAN!$B$23)</f>
        <v/>
      </c>
      <c r="F160" s="6" t="str">
        <f>IF(B160="","",B160*PENGATURAN!$B$24)</f>
        <v/>
      </c>
      <c r="G160" s="6" t="str">
        <f>IF(B160="","",B160*PENGATURAN!$B$25)</f>
        <v/>
      </c>
      <c r="H160" s="6" t="str">
        <f t="shared" si="12"/>
        <v/>
      </c>
      <c r="I160" s="6" t="str">
        <f t="shared" si="13"/>
        <v/>
      </c>
      <c r="L160" s="6">
        <f t="shared" si="14"/>
        <v>0</v>
      </c>
    </row>
    <row r="161" spans="2:12" x14ac:dyDescent="0.25">
      <c r="B161" s="6" t="str">
        <f>IF(A161="","",SUMIF(PEMBAYARAN!B:B,A161,PEMBAYARAN!F:F))</f>
        <v/>
      </c>
      <c r="C161" s="6" t="str">
        <f>IF(B161="","",B161*PENGATURAN!$B$21)</f>
        <v/>
      </c>
      <c r="D161" s="6" t="str">
        <f>IF(B161="","",B161*PENGATURAN!$B$22)</f>
        <v/>
      </c>
      <c r="E161" s="6" t="str">
        <f>IF(B161="","",B161*PENGATURAN!$B$23)</f>
        <v/>
      </c>
      <c r="F161" s="6" t="str">
        <f>IF(B161="","",B161*PENGATURAN!$B$24)</f>
        <v/>
      </c>
      <c r="G161" s="6" t="str">
        <f>IF(B161="","",B161*PENGATURAN!$B$25)</f>
        <v/>
      </c>
      <c r="H161" s="6" t="str">
        <f t="shared" si="12"/>
        <v/>
      </c>
      <c r="I161" s="6" t="str">
        <f t="shared" si="13"/>
        <v/>
      </c>
      <c r="L161" s="6">
        <f t="shared" si="14"/>
        <v>0</v>
      </c>
    </row>
    <row r="162" spans="2:12" x14ac:dyDescent="0.25">
      <c r="B162" s="6" t="str">
        <f>IF(A162="","",SUMIF(PEMBAYARAN!B:B,A162,PEMBAYARAN!F:F))</f>
        <v/>
      </c>
      <c r="C162" s="6" t="str">
        <f>IF(B162="","",B162*PENGATURAN!$B$21)</f>
        <v/>
      </c>
      <c r="D162" s="6" t="str">
        <f>IF(B162="","",B162*PENGATURAN!$B$22)</f>
        <v/>
      </c>
      <c r="E162" s="6" t="str">
        <f>IF(B162="","",B162*PENGATURAN!$B$23)</f>
        <v/>
      </c>
      <c r="F162" s="6" t="str">
        <f>IF(B162="","",B162*PENGATURAN!$B$24)</f>
        <v/>
      </c>
      <c r="G162" s="6" t="str">
        <f>IF(B162="","",B162*PENGATURAN!$B$25)</f>
        <v/>
      </c>
      <c r="H162" s="6" t="str">
        <f t="shared" si="12"/>
        <v/>
      </c>
      <c r="I162" s="6" t="str">
        <f t="shared" si="13"/>
        <v/>
      </c>
      <c r="L162" s="6">
        <f t="shared" si="14"/>
        <v>0</v>
      </c>
    </row>
    <row r="163" spans="2:12" x14ac:dyDescent="0.25">
      <c r="B163" s="6" t="str">
        <f>IF(A163="","",SUMIF(PEMBAYARAN!B:B,A163,PEMBAYARAN!F:F))</f>
        <v/>
      </c>
      <c r="C163" s="6" t="str">
        <f>IF(B163="","",B163*PENGATURAN!$B$21)</f>
        <v/>
      </c>
      <c r="D163" s="6" t="str">
        <f>IF(B163="","",B163*PENGATURAN!$B$22)</f>
        <v/>
      </c>
      <c r="E163" s="6" t="str">
        <f>IF(B163="","",B163*PENGATURAN!$B$23)</f>
        <v/>
      </c>
      <c r="F163" s="6" t="str">
        <f>IF(B163="","",B163*PENGATURAN!$B$24)</f>
        <v/>
      </c>
      <c r="G163" s="6" t="str">
        <f>IF(B163="","",B163*PENGATURAN!$B$25)</f>
        <v/>
      </c>
      <c r="H163" s="6" t="str">
        <f t="shared" si="12"/>
        <v/>
      </c>
      <c r="I163" s="6" t="str">
        <f t="shared" si="13"/>
        <v/>
      </c>
      <c r="L163" s="6">
        <f t="shared" si="14"/>
        <v>0</v>
      </c>
    </row>
    <row r="164" spans="2:12" x14ac:dyDescent="0.25">
      <c r="B164" s="6" t="str">
        <f>IF(A164="","",SUMIF(PEMBAYARAN!B:B,A164,PEMBAYARAN!F:F))</f>
        <v/>
      </c>
      <c r="C164" s="6" t="str">
        <f>IF(B164="","",B164*PENGATURAN!$B$21)</f>
        <v/>
      </c>
      <c r="D164" s="6" t="str">
        <f>IF(B164="","",B164*PENGATURAN!$B$22)</f>
        <v/>
      </c>
      <c r="E164" s="6" t="str">
        <f>IF(B164="","",B164*PENGATURAN!$B$23)</f>
        <v/>
      </c>
      <c r="F164" s="6" t="str">
        <f>IF(B164="","",B164*PENGATURAN!$B$24)</f>
        <v/>
      </c>
      <c r="G164" s="6" t="str">
        <f>IF(B164="","",B164*PENGATURAN!$B$25)</f>
        <v/>
      </c>
      <c r="H164" s="6" t="str">
        <f t="shared" ref="H164:H195" si="15">IF(B164="","",SUM(C164:G164))</f>
        <v/>
      </c>
      <c r="I164" s="6" t="str">
        <f t="shared" ref="I164:I195" si="16">IF(B164="","",B164-H164)</f>
        <v/>
      </c>
      <c r="L164" s="6">
        <f t="shared" ref="L164:L195" si="17">IF(OR(J164&lt;&gt;"Lunas",K164&lt;&gt;"Tercukupi"),0,I164)</f>
        <v>0</v>
      </c>
    </row>
    <row r="165" spans="2:12" x14ac:dyDescent="0.25">
      <c r="B165" s="6" t="str">
        <f>IF(A165="","",SUMIF(PEMBAYARAN!B:B,A165,PEMBAYARAN!F:F))</f>
        <v/>
      </c>
      <c r="C165" s="6" t="str">
        <f>IF(B165="","",B165*PENGATURAN!$B$21)</f>
        <v/>
      </c>
      <c r="D165" s="6" t="str">
        <f>IF(B165="","",B165*PENGATURAN!$B$22)</f>
        <v/>
      </c>
      <c r="E165" s="6" t="str">
        <f>IF(B165="","",B165*PENGATURAN!$B$23)</f>
        <v/>
      </c>
      <c r="F165" s="6" t="str">
        <f>IF(B165="","",B165*PENGATURAN!$B$24)</f>
        <v/>
      </c>
      <c r="G165" s="6" t="str">
        <f>IF(B165="","",B165*PENGATURAN!$B$25)</f>
        <v/>
      </c>
      <c r="H165" s="6" t="str">
        <f t="shared" si="15"/>
        <v/>
      </c>
      <c r="I165" s="6" t="str">
        <f t="shared" si="16"/>
        <v/>
      </c>
      <c r="L165" s="6">
        <f t="shared" si="17"/>
        <v>0</v>
      </c>
    </row>
    <row r="166" spans="2:12" x14ac:dyDescent="0.25">
      <c r="B166" s="6" t="str">
        <f>IF(A166="","",SUMIF(PEMBAYARAN!B:B,A166,PEMBAYARAN!F:F))</f>
        <v/>
      </c>
      <c r="C166" s="6" t="str">
        <f>IF(B166="","",B166*PENGATURAN!$B$21)</f>
        <v/>
      </c>
      <c r="D166" s="6" t="str">
        <f>IF(B166="","",B166*PENGATURAN!$B$22)</f>
        <v/>
      </c>
      <c r="E166" s="6" t="str">
        <f>IF(B166="","",B166*PENGATURAN!$B$23)</f>
        <v/>
      </c>
      <c r="F166" s="6" t="str">
        <f>IF(B166="","",B166*PENGATURAN!$B$24)</f>
        <v/>
      </c>
      <c r="G166" s="6" t="str">
        <f>IF(B166="","",B166*PENGATURAN!$B$25)</f>
        <v/>
      </c>
      <c r="H166" s="6" t="str">
        <f t="shared" si="15"/>
        <v/>
      </c>
      <c r="I166" s="6" t="str">
        <f t="shared" si="16"/>
        <v/>
      </c>
      <c r="L166" s="6">
        <f t="shared" si="17"/>
        <v>0</v>
      </c>
    </row>
    <row r="167" spans="2:12" x14ac:dyDescent="0.25">
      <c r="B167" s="6" t="str">
        <f>IF(A167="","",SUMIF(PEMBAYARAN!B:B,A167,PEMBAYARAN!F:F))</f>
        <v/>
      </c>
      <c r="C167" s="6" t="str">
        <f>IF(B167="","",B167*PENGATURAN!$B$21)</f>
        <v/>
      </c>
      <c r="D167" s="6" t="str">
        <f>IF(B167="","",B167*PENGATURAN!$B$22)</f>
        <v/>
      </c>
      <c r="E167" s="6" t="str">
        <f>IF(B167="","",B167*PENGATURAN!$B$23)</f>
        <v/>
      </c>
      <c r="F167" s="6" t="str">
        <f>IF(B167="","",B167*PENGATURAN!$B$24)</f>
        <v/>
      </c>
      <c r="G167" s="6" t="str">
        <f>IF(B167="","",B167*PENGATURAN!$B$25)</f>
        <v/>
      </c>
      <c r="H167" s="6" t="str">
        <f t="shared" si="15"/>
        <v/>
      </c>
      <c r="I167" s="6" t="str">
        <f t="shared" si="16"/>
        <v/>
      </c>
      <c r="L167" s="6">
        <f t="shared" si="17"/>
        <v>0</v>
      </c>
    </row>
    <row r="168" spans="2:12" x14ac:dyDescent="0.25">
      <c r="B168" s="6" t="str">
        <f>IF(A168="","",SUMIF(PEMBAYARAN!B:B,A168,PEMBAYARAN!F:F))</f>
        <v/>
      </c>
      <c r="C168" s="6" t="str">
        <f>IF(B168="","",B168*PENGATURAN!$B$21)</f>
        <v/>
      </c>
      <c r="D168" s="6" t="str">
        <f>IF(B168="","",B168*PENGATURAN!$B$22)</f>
        <v/>
      </c>
      <c r="E168" s="6" t="str">
        <f>IF(B168="","",B168*PENGATURAN!$B$23)</f>
        <v/>
      </c>
      <c r="F168" s="6" t="str">
        <f>IF(B168="","",B168*PENGATURAN!$B$24)</f>
        <v/>
      </c>
      <c r="G168" s="6" t="str">
        <f>IF(B168="","",B168*PENGATURAN!$B$25)</f>
        <v/>
      </c>
      <c r="H168" s="6" t="str">
        <f t="shared" si="15"/>
        <v/>
      </c>
      <c r="I168" s="6" t="str">
        <f t="shared" si="16"/>
        <v/>
      </c>
      <c r="L168" s="6">
        <f t="shared" si="17"/>
        <v>0</v>
      </c>
    </row>
    <row r="169" spans="2:12" x14ac:dyDescent="0.25">
      <c r="B169" s="6" t="str">
        <f>IF(A169="","",SUMIF(PEMBAYARAN!B:B,A169,PEMBAYARAN!F:F))</f>
        <v/>
      </c>
      <c r="C169" s="6" t="str">
        <f>IF(B169="","",B169*PENGATURAN!$B$21)</f>
        <v/>
      </c>
      <c r="D169" s="6" t="str">
        <f>IF(B169="","",B169*PENGATURAN!$B$22)</f>
        <v/>
      </c>
      <c r="E169" s="6" t="str">
        <f>IF(B169="","",B169*PENGATURAN!$B$23)</f>
        <v/>
      </c>
      <c r="F169" s="6" t="str">
        <f>IF(B169="","",B169*PENGATURAN!$B$24)</f>
        <v/>
      </c>
      <c r="G169" s="6" t="str">
        <f>IF(B169="","",B169*PENGATURAN!$B$25)</f>
        <v/>
      </c>
      <c r="H169" s="6" t="str">
        <f t="shared" si="15"/>
        <v/>
      </c>
      <c r="I169" s="6" t="str">
        <f t="shared" si="16"/>
        <v/>
      </c>
      <c r="L169" s="6">
        <f t="shared" si="17"/>
        <v>0</v>
      </c>
    </row>
    <row r="170" spans="2:12" x14ac:dyDescent="0.25">
      <c r="B170" s="6" t="str">
        <f>IF(A170="","",SUMIF(PEMBAYARAN!B:B,A170,PEMBAYARAN!F:F))</f>
        <v/>
      </c>
      <c r="C170" s="6" t="str">
        <f>IF(B170="","",B170*PENGATURAN!$B$21)</f>
        <v/>
      </c>
      <c r="D170" s="6" t="str">
        <f>IF(B170="","",B170*PENGATURAN!$B$22)</f>
        <v/>
      </c>
      <c r="E170" s="6" t="str">
        <f>IF(B170="","",B170*PENGATURAN!$B$23)</f>
        <v/>
      </c>
      <c r="F170" s="6" t="str">
        <f>IF(B170="","",B170*PENGATURAN!$B$24)</f>
        <v/>
      </c>
      <c r="G170" s="6" t="str">
        <f>IF(B170="","",B170*PENGATURAN!$B$25)</f>
        <v/>
      </c>
      <c r="H170" s="6" t="str">
        <f t="shared" si="15"/>
        <v/>
      </c>
      <c r="I170" s="6" t="str">
        <f t="shared" si="16"/>
        <v/>
      </c>
      <c r="L170" s="6">
        <f t="shared" si="17"/>
        <v>0</v>
      </c>
    </row>
    <row r="171" spans="2:12" x14ac:dyDescent="0.25">
      <c r="B171" s="6" t="str">
        <f>IF(A171="","",SUMIF(PEMBAYARAN!B:B,A171,PEMBAYARAN!F:F))</f>
        <v/>
      </c>
      <c r="C171" s="6" t="str">
        <f>IF(B171="","",B171*PENGATURAN!$B$21)</f>
        <v/>
      </c>
      <c r="D171" s="6" t="str">
        <f>IF(B171="","",B171*PENGATURAN!$B$22)</f>
        <v/>
      </c>
      <c r="E171" s="6" t="str">
        <f>IF(B171="","",B171*PENGATURAN!$B$23)</f>
        <v/>
      </c>
      <c r="F171" s="6" t="str">
        <f>IF(B171="","",B171*PENGATURAN!$B$24)</f>
        <v/>
      </c>
      <c r="G171" s="6" t="str">
        <f>IF(B171="","",B171*PENGATURAN!$B$25)</f>
        <v/>
      </c>
      <c r="H171" s="6" t="str">
        <f t="shared" si="15"/>
        <v/>
      </c>
      <c r="I171" s="6" t="str">
        <f t="shared" si="16"/>
        <v/>
      </c>
      <c r="L171" s="6">
        <f t="shared" si="17"/>
        <v>0</v>
      </c>
    </row>
    <row r="172" spans="2:12" x14ac:dyDescent="0.25">
      <c r="B172" s="6" t="str">
        <f>IF(A172="","",SUMIF(PEMBAYARAN!B:B,A172,PEMBAYARAN!F:F))</f>
        <v/>
      </c>
      <c r="C172" s="6" t="str">
        <f>IF(B172="","",B172*PENGATURAN!$B$21)</f>
        <v/>
      </c>
      <c r="D172" s="6" t="str">
        <f>IF(B172="","",B172*PENGATURAN!$B$22)</f>
        <v/>
      </c>
      <c r="E172" s="6" t="str">
        <f>IF(B172="","",B172*PENGATURAN!$B$23)</f>
        <v/>
      </c>
      <c r="F172" s="6" t="str">
        <f>IF(B172="","",B172*PENGATURAN!$B$24)</f>
        <v/>
      </c>
      <c r="G172" s="6" t="str">
        <f>IF(B172="","",B172*PENGATURAN!$B$25)</f>
        <v/>
      </c>
      <c r="H172" s="6" t="str">
        <f t="shared" si="15"/>
        <v/>
      </c>
      <c r="I172" s="6" t="str">
        <f t="shared" si="16"/>
        <v/>
      </c>
      <c r="L172" s="6">
        <f t="shared" si="17"/>
        <v>0</v>
      </c>
    </row>
    <row r="173" spans="2:12" x14ac:dyDescent="0.25">
      <c r="B173" s="6" t="str">
        <f>IF(A173="","",SUMIF(PEMBAYARAN!B:B,A173,PEMBAYARAN!F:F))</f>
        <v/>
      </c>
      <c r="C173" s="6" t="str">
        <f>IF(B173="","",B173*PENGATURAN!$B$21)</f>
        <v/>
      </c>
      <c r="D173" s="6" t="str">
        <f>IF(B173="","",B173*PENGATURAN!$B$22)</f>
        <v/>
      </c>
      <c r="E173" s="6" t="str">
        <f>IF(B173="","",B173*PENGATURAN!$B$23)</f>
        <v/>
      </c>
      <c r="F173" s="6" t="str">
        <f>IF(B173="","",B173*PENGATURAN!$B$24)</f>
        <v/>
      </c>
      <c r="G173" s="6" t="str">
        <f>IF(B173="","",B173*PENGATURAN!$B$25)</f>
        <v/>
      </c>
      <c r="H173" s="6" t="str">
        <f t="shared" si="15"/>
        <v/>
      </c>
      <c r="I173" s="6" t="str">
        <f t="shared" si="16"/>
        <v/>
      </c>
      <c r="L173" s="6">
        <f t="shared" si="17"/>
        <v>0</v>
      </c>
    </row>
    <row r="174" spans="2:12" x14ac:dyDescent="0.25">
      <c r="B174" s="6" t="str">
        <f>IF(A174="","",SUMIF(PEMBAYARAN!B:B,A174,PEMBAYARAN!F:F))</f>
        <v/>
      </c>
      <c r="C174" s="6" t="str">
        <f>IF(B174="","",B174*PENGATURAN!$B$21)</f>
        <v/>
      </c>
      <c r="D174" s="6" t="str">
        <f>IF(B174="","",B174*PENGATURAN!$B$22)</f>
        <v/>
      </c>
      <c r="E174" s="6" t="str">
        <f>IF(B174="","",B174*PENGATURAN!$B$23)</f>
        <v/>
      </c>
      <c r="F174" s="6" t="str">
        <f>IF(B174="","",B174*PENGATURAN!$B$24)</f>
        <v/>
      </c>
      <c r="G174" s="6" t="str">
        <f>IF(B174="","",B174*PENGATURAN!$B$25)</f>
        <v/>
      </c>
      <c r="H174" s="6" t="str">
        <f t="shared" si="15"/>
        <v/>
      </c>
      <c r="I174" s="6" t="str">
        <f t="shared" si="16"/>
        <v/>
      </c>
      <c r="L174" s="6">
        <f t="shared" si="17"/>
        <v>0</v>
      </c>
    </row>
    <row r="175" spans="2:12" x14ac:dyDescent="0.25">
      <c r="B175" s="6" t="str">
        <f>IF(A175="","",SUMIF(PEMBAYARAN!B:B,A175,PEMBAYARAN!F:F))</f>
        <v/>
      </c>
      <c r="C175" s="6" t="str">
        <f>IF(B175="","",B175*PENGATURAN!$B$21)</f>
        <v/>
      </c>
      <c r="D175" s="6" t="str">
        <f>IF(B175="","",B175*PENGATURAN!$B$22)</f>
        <v/>
      </c>
      <c r="E175" s="6" t="str">
        <f>IF(B175="","",B175*PENGATURAN!$B$23)</f>
        <v/>
      </c>
      <c r="F175" s="6" t="str">
        <f>IF(B175="","",B175*PENGATURAN!$B$24)</f>
        <v/>
      </c>
      <c r="G175" s="6" t="str">
        <f>IF(B175="","",B175*PENGATURAN!$B$25)</f>
        <v/>
      </c>
      <c r="H175" s="6" t="str">
        <f t="shared" si="15"/>
        <v/>
      </c>
      <c r="I175" s="6" t="str">
        <f t="shared" si="16"/>
        <v/>
      </c>
      <c r="L175" s="6">
        <f t="shared" si="17"/>
        <v>0</v>
      </c>
    </row>
    <row r="176" spans="2:12" x14ac:dyDescent="0.25">
      <c r="B176" s="6" t="str">
        <f>IF(A176="","",SUMIF(PEMBAYARAN!B:B,A176,PEMBAYARAN!F:F))</f>
        <v/>
      </c>
      <c r="C176" s="6" t="str">
        <f>IF(B176="","",B176*PENGATURAN!$B$21)</f>
        <v/>
      </c>
      <c r="D176" s="6" t="str">
        <f>IF(B176="","",B176*PENGATURAN!$B$22)</f>
        <v/>
      </c>
      <c r="E176" s="6" t="str">
        <f>IF(B176="","",B176*PENGATURAN!$B$23)</f>
        <v/>
      </c>
      <c r="F176" s="6" t="str">
        <f>IF(B176="","",B176*PENGATURAN!$B$24)</f>
        <v/>
      </c>
      <c r="G176" s="6" t="str">
        <f>IF(B176="","",B176*PENGATURAN!$B$25)</f>
        <v/>
      </c>
      <c r="H176" s="6" t="str">
        <f t="shared" si="15"/>
        <v/>
      </c>
      <c r="I176" s="6" t="str">
        <f t="shared" si="16"/>
        <v/>
      </c>
      <c r="L176" s="6">
        <f t="shared" si="17"/>
        <v>0</v>
      </c>
    </row>
    <row r="177" spans="2:12" x14ac:dyDescent="0.25">
      <c r="B177" s="6" t="str">
        <f>IF(A177="","",SUMIF(PEMBAYARAN!B:B,A177,PEMBAYARAN!F:F))</f>
        <v/>
      </c>
      <c r="C177" s="6" t="str">
        <f>IF(B177="","",B177*PENGATURAN!$B$21)</f>
        <v/>
      </c>
      <c r="D177" s="6" t="str">
        <f>IF(B177="","",B177*PENGATURAN!$B$22)</f>
        <v/>
      </c>
      <c r="E177" s="6" t="str">
        <f>IF(B177="","",B177*PENGATURAN!$B$23)</f>
        <v/>
      </c>
      <c r="F177" s="6" t="str">
        <f>IF(B177="","",B177*PENGATURAN!$B$24)</f>
        <v/>
      </c>
      <c r="G177" s="6" t="str">
        <f>IF(B177="","",B177*PENGATURAN!$B$25)</f>
        <v/>
      </c>
      <c r="H177" s="6" t="str">
        <f t="shared" si="15"/>
        <v/>
      </c>
      <c r="I177" s="6" t="str">
        <f t="shared" si="16"/>
        <v/>
      </c>
      <c r="L177" s="6">
        <f t="shared" si="17"/>
        <v>0</v>
      </c>
    </row>
    <row r="178" spans="2:12" x14ac:dyDescent="0.25">
      <c r="B178" s="6" t="str">
        <f>IF(A178="","",SUMIF(PEMBAYARAN!B:B,A178,PEMBAYARAN!F:F))</f>
        <v/>
      </c>
      <c r="C178" s="6" t="str">
        <f>IF(B178="","",B178*PENGATURAN!$B$21)</f>
        <v/>
      </c>
      <c r="D178" s="6" t="str">
        <f>IF(B178="","",B178*PENGATURAN!$B$22)</f>
        <v/>
      </c>
      <c r="E178" s="6" t="str">
        <f>IF(B178="","",B178*PENGATURAN!$B$23)</f>
        <v/>
      </c>
      <c r="F178" s="6" t="str">
        <f>IF(B178="","",B178*PENGATURAN!$B$24)</f>
        <v/>
      </c>
      <c r="G178" s="6" t="str">
        <f>IF(B178="","",B178*PENGATURAN!$B$25)</f>
        <v/>
      </c>
      <c r="H178" s="6" t="str">
        <f t="shared" si="15"/>
        <v/>
      </c>
      <c r="I178" s="6" t="str">
        <f t="shared" si="16"/>
        <v/>
      </c>
      <c r="L178" s="6">
        <f t="shared" si="17"/>
        <v>0</v>
      </c>
    </row>
    <row r="179" spans="2:12" x14ac:dyDescent="0.25">
      <c r="B179" s="6" t="str">
        <f>IF(A179="","",SUMIF(PEMBAYARAN!B:B,A179,PEMBAYARAN!F:F))</f>
        <v/>
      </c>
      <c r="C179" s="6" t="str">
        <f>IF(B179="","",B179*PENGATURAN!$B$21)</f>
        <v/>
      </c>
      <c r="D179" s="6" t="str">
        <f>IF(B179="","",B179*PENGATURAN!$B$22)</f>
        <v/>
      </c>
      <c r="E179" s="6" t="str">
        <f>IF(B179="","",B179*PENGATURAN!$B$23)</f>
        <v/>
      </c>
      <c r="F179" s="6" t="str">
        <f>IF(B179="","",B179*PENGATURAN!$B$24)</f>
        <v/>
      </c>
      <c r="G179" s="6" t="str">
        <f>IF(B179="","",B179*PENGATURAN!$B$25)</f>
        <v/>
      </c>
      <c r="H179" s="6" t="str">
        <f t="shared" si="15"/>
        <v/>
      </c>
      <c r="I179" s="6" t="str">
        <f t="shared" si="16"/>
        <v/>
      </c>
      <c r="L179" s="6">
        <f t="shared" si="17"/>
        <v>0</v>
      </c>
    </row>
    <row r="180" spans="2:12" x14ac:dyDescent="0.25">
      <c r="B180" s="6" t="str">
        <f>IF(A180="","",SUMIF(PEMBAYARAN!B:B,A180,PEMBAYARAN!F:F))</f>
        <v/>
      </c>
      <c r="C180" s="6" t="str">
        <f>IF(B180="","",B180*PENGATURAN!$B$21)</f>
        <v/>
      </c>
      <c r="D180" s="6" t="str">
        <f>IF(B180="","",B180*PENGATURAN!$B$22)</f>
        <v/>
      </c>
      <c r="E180" s="6" t="str">
        <f>IF(B180="","",B180*PENGATURAN!$B$23)</f>
        <v/>
      </c>
      <c r="F180" s="6" t="str">
        <f>IF(B180="","",B180*PENGATURAN!$B$24)</f>
        <v/>
      </c>
      <c r="G180" s="6" t="str">
        <f>IF(B180="","",B180*PENGATURAN!$B$25)</f>
        <v/>
      </c>
      <c r="H180" s="6" t="str">
        <f t="shared" si="15"/>
        <v/>
      </c>
      <c r="I180" s="6" t="str">
        <f t="shared" si="16"/>
        <v/>
      </c>
      <c r="L180" s="6">
        <f t="shared" si="17"/>
        <v>0</v>
      </c>
    </row>
    <row r="181" spans="2:12" x14ac:dyDescent="0.25">
      <c r="B181" s="6" t="str">
        <f>IF(A181="","",SUMIF(PEMBAYARAN!B:B,A181,PEMBAYARAN!F:F))</f>
        <v/>
      </c>
      <c r="C181" s="6" t="str">
        <f>IF(B181="","",B181*PENGATURAN!$B$21)</f>
        <v/>
      </c>
      <c r="D181" s="6" t="str">
        <f>IF(B181="","",B181*PENGATURAN!$B$22)</f>
        <v/>
      </c>
      <c r="E181" s="6" t="str">
        <f>IF(B181="","",B181*PENGATURAN!$B$23)</f>
        <v/>
      </c>
      <c r="F181" s="6" t="str">
        <f>IF(B181="","",B181*PENGATURAN!$B$24)</f>
        <v/>
      </c>
      <c r="G181" s="6" t="str">
        <f>IF(B181="","",B181*PENGATURAN!$B$25)</f>
        <v/>
      </c>
      <c r="H181" s="6" t="str">
        <f t="shared" si="15"/>
        <v/>
      </c>
      <c r="I181" s="6" t="str">
        <f t="shared" si="16"/>
        <v/>
      </c>
      <c r="L181" s="6">
        <f t="shared" si="17"/>
        <v>0</v>
      </c>
    </row>
    <row r="182" spans="2:12" x14ac:dyDescent="0.25">
      <c r="B182" s="6" t="str">
        <f>IF(A182="","",SUMIF(PEMBAYARAN!B:B,A182,PEMBAYARAN!F:F))</f>
        <v/>
      </c>
      <c r="C182" s="6" t="str">
        <f>IF(B182="","",B182*PENGATURAN!$B$21)</f>
        <v/>
      </c>
      <c r="D182" s="6" t="str">
        <f>IF(B182="","",B182*PENGATURAN!$B$22)</f>
        <v/>
      </c>
      <c r="E182" s="6" t="str">
        <f>IF(B182="","",B182*PENGATURAN!$B$23)</f>
        <v/>
      </c>
      <c r="F182" s="6" t="str">
        <f>IF(B182="","",B182*PENGATURAN!$B$24)</f>
        <v/>
      </c>
      <c r="G182" s="6" t="str">
        <f>IF(B182="","",B182*PENGATURAN!$B$25)</f>
        <v/>
      </c>
      <c r="H182" s="6" t="str">
        <f t="shared" si="15"/>
        <v/>
      </c>
      <c r="I182" s="6" t="str">
        <f t="shared" si="16"/>
        <v/>
      </c>
      <c r="L182" s="6">
        <f t="shared" si="17"/>
        <v>0</v>
      </c>
    </row>
    <row r="183" spans="2:12" x14ac:dyDescent="0.25">
      <c r="B183" s="6" t="str">
        <f>IF(A183="","",SUMIF(PEMBAYARAN!B:B,A183,PEMBAYARAN!F:F))</f>
        <v/>
      </c>
      <c r="C183" s="6" t="str">
        <f>IF(B183="","",B183*PENGATURAN!$B$21)</f>
        <v/>
      </c>
      <c r="D183" s="6" t="str">
        <f>IF(B183="","",B183*PENGATURAN!$B$22)</f>
        <v/>
      </c>
      <c r="E183" s="6" t="str">
        <f>IF(B183="","",B183*PENGATURAN!$B$23)</f>
        <v/>
      </c>
      <c r="F183" s="6" t="str">
        <f>IF(B183="","",B183*PENGATURAN!$B$24)</f>
        <v/>
      </c>
      <c r="G183" s="6" t="str">
        <f>IF(B183="","",B183*PENGATURAN!$B$25)</f>
        <v/>
      </c>
      <c r="H183" s="6" t="str">
        <f t="shared" si="15"/>
        <v/>
      </c>
      <c r="I183" s="6" t="str">
        <f t="shared" si="16"/>
        <v/>
      </c>
      <c r="L183" s="6">
        <f t="shared" si="17"/>
        <v>0</v>
      </c>
    </row>
    <row r="184" spans="2:12" x14ac:dyDescent="0.25">
      <c r="B184" s="6" t="str">
        <f>IF(A184="","",SUMIF(PEMBAYARAN!B:B,A184,PEMBAYARAN!F:F))</f>
        <v/>
      </c>
      <c r="C184" s="6" t="str">
        <f>IF(B184="","",B184*PENGATURAN!$B$21)</f>
        <v/>
      </c>
      <c r="D184" s="6" t="str">
        <f>IF(B184="","",B184*PENGATURAN!$B$22)</f>
        <v/>
      </c>
      <c r="E184" s="6" t="str">
        <f>IF(B184="","",B184*PENGATURAN!$B$23)</f>
        <v/>
      </c>
      <c r="F184" s="6" t="str">
        <f>IF(B184="","",B184*PENGATURAN!$B$24)</f>
        <v/>
      </c>
      <c r="G184" s="6" t="str">
        <f>IF(B184="","",B184*PENGATURAN!$B$25)</f>
        <v/>
      </c>
      <c r="H184" s="6" t="str">
        <f t="shared" si="15"/>
        <v/>
      </c>
      <c r="I184" s="6" t="str">
        <f t="shared" si="16"/>
        <v/>
      </c>
      <c r="L184" s="6">
        <f t="shared" si="17"/>
        <v>0</v>
      </c>
    </row>
    <row r="185" spans="2:12" x14ac:dyDescent="0.25">
      <c r="B185" s="6" t="str">
        <f>IF(A185="","",SUMIF(PEMBAYARAN!B:B,A185,PEMBAYARAN!F:F))</f>
        <v/>
      </c>
      <c r="C185" s="6" t="str">
        <f>IF(B185="","",B185*PENGATURAN!$B$21)</f>
        <v/>
      </c>
      <c r="D185" s="6" t="str">
        <f>IF(B185="","",B185*PENGATURAN!$B$22)</f>
        <v/>
      </c>
      <c r="E185" s="6" t="str">
        <f>IF(B185="","",B185*PENGATURAN!$B$23)</f>
        <v/>
      </c>
      <c r="F185" s="6" t="str">
        <f>IF(B185="","",B185*PENGATURAN!$B$24)</f>
        <v/>
      </c>
      <c r="G185" s="6" t="str">
        <f>IF(B185="","",B185*PENGATURAN!$B$25)</f>
        <v/>
      </c>
      <c r="H185" s="6" t="str">
        <f t="shared" si="15"/>
        <v/>
      </c>
      <c r="I185" s="6" t="str">
        <f t="shared" si="16"/>
        <v/>
      </c>
      <c r="L185" s="6">
        <f t="shared" si="17"/>
        <v>0</v>
      </c>
    </row>
    <row r="186" spans="2:12" x14ac:dyDescent="0.25">
      <c r="B186" s="6" t="str">
        <f>IF(A186="","",SUMIF(PEMBAYARAN!B:B,A186,PEMBAYARAN!F:F))</f>
        <v/>
      </c>
      <c r="C186" s="6" t="str">
        <f>IF(B186="","",B186*PENGATURAN!$B$21)</f>
        <v/>
      </c>
      <c r="D186" s="6" t="str">
        <f>IF(B186="","",B186*PENGATURAN!$B$22)</f>
        <v/>
      </c>
      <c r="E186" s="6" t="str">
        <f>IF(B186="","",B186*PENGATURAN!$B$23)</f>
        <v/>
      </c>
      <c r="F186" s="6" t="str">
        <f>IF(B186="","",B186*PENGATURAN!$B$24)</f>
        <v/>
      </c>
      <c r="G186" s="6" t="str">
        <f>IF(B186="","",B186*PENGATURAN!$B$25)</f>
        <v/>
      </c>
      <c r="H186" s="6" t="str">
        <f t="shared" si="15"/>
        <v/>
      </c>
      <c r="I186" s="6" t="str">
        <f t="shared" si="16"/>
        <v/>
      </c>
      <c r="L186" s="6">
        <f t="shared" si="17"/>
        <v>0</v>
      </c>
    </row>
    <row r="187" spans="2:12" x14ac:dyDescent="0.25">
      <c r="B187" s="6" t="str">
        <f>IF(A187="","",SUMIF(PEMBAYARAN!B:B,A187,PEMBAYARAN!F:F))</f>
        <v/>
      </c>
      <c r="C187" s="6" t="str">
        <f>IF(B187="","",B187*PENGATURAN!$B$21)</f>
        <v/>
      </c>
      <c r="D187" s="6" t="str">
        <f>IF(B187="","",B187*PENGATURAN!$B$22)</f>
        <v/>
      </c>
      <c r="E187" s="6" t="str">
        <f>IF(B187="","",B187*PENGATURAN!$B$23)</f>
        <v/>
      </c>
      <c r="F187" s="6" t="str">
        <f>IF(B187="","",B187*PENGATURAN!$B$24)</f>
        <v/>
      </c>
      <c r="G187" s="6" t="str">
        <f>IF(B187="","",B187*PENGATURAN!$B$25)</f>
        <v/>
      </c>
      <c r="H187" s="6" t="str">
        <f t="shared" si="15"/>
        <v/>
      </c>
      <c r="I187" s="6" t="str">
        <f t="shared" si="16"/>
        <v/>
      </c>
      <c r="L187" s="6">
        <f t="shared" si="17"/>
        <v>0</v>
      </c>
    </row>
    <row r="188" spans="2:12" x14ac:dyDescent="0.25">
      <c r="B188" s="6" t="str">
        <f>IF(A188="","",SUMIF(PEMBAYARAN!B:B,A188,PEMBAYARAN!F:F))</f>
        <v/>
      </c>
      <c r="C188" s="6" t="str">
        <f>IF(B188="","",B188*PENGATURAN!$B$21)</f>
        <v/>
      </c>
      <c r="D188" s="6" t="str">
        <f>IF(B188="","",B188*PENGATURAN!$B$22)</f>
        <v/>
      </c>
      <c r="E188" s="6" t="str">
        <f>IF(B188="","",B188*PENGATURAN!$B$23)</f>
        <v/>
      </c>
      <c r="F188" s="6" t="str">
        <f>IF(B188="","",B188*PENGATURAN!$B$24)</f>
        <v/>
      </c>
      <c r="G188" s="6" t="str">
        <f>IF(B188="","",B188*PENGATURAN!$B$25)</f>
        <v/>
      </c>
      <c r="H188" s="6" t="str">
        <f t="shared" si="15"/>
        <v/>
      </c>
      <c r="I188" s="6" t="str">
        <f t="shared" si="16"/>
        <v/>
      </c>
      <c r="L188" s="6">
        <f t="shared" si="17"/>
        <v>0</v>
      </c>
    </row>
    <row r="189" spans="2:12" x14ac:dyDescent="0.25">
      <c r="B189" s="6" t="str">
        <f>IF(A189="","",SUMIF(PEMBAYARAN!B:B,A189,PEMBAYARAN!F:F))</f>
        <v/>
      </c>
      <c r="C189" s="6" t="str">
        <f>IF(B189="","",B189*PENGATURAN!$B$21)</f>
        <v/>
      </c>
      <c r="D189" s="6" t="str">
        <f>IF(B189="","",B189*PENGATURAN!$B$22)</f>
        <v/>
      </c>
      <c r="E189" s="6" t="str">
        <f>IF(B189="","",B189*PENGATURAN!$B$23)</f>
        <v/>
      </c>
      <c r="F189" s="6" t="str">
        <f>IF(B189="","",B189*PENGATURAN!$B$24)</f>
        <v/>
      </c>
      <c r="G189" s="6" t="str">
        <f>IF(B189="","",B189*PENGATURAN!$B$25)</f>
        <v/>
      </c>
      <c r="H189" s="6" t="str">
        <f t="shared" si="15"/>
        <v/>
      </c>
      <c r="I189" s="6" t="str">
        <f t="shared" si="16"/>
        <v/>
      </c>
      <c r="L189" s="6">
        <f t="shared" si="17"/>
        <v>0</v>
      </c>
    </row>
    <row r="190" spans="2:12" x14ac:dyDescent="0.25">
      <c r="B190" s="6" t="str">
        <f>IF(A190="","",SUMIF(PEMBAYARAN!B:B,A190,PEMBAYARAN!F:F))</f>
        <v/>
      </c>
      <c r="C190" s="6" t="str">
        <f>IF(B190="","",B190*PENGATURAN!$B$21)</f>
        <v/>
      </c>
      <c r="D190" s="6" t="str">
        <f>IF(B190="","",B190*PENGATURAN!$B$22)</f>
        <v/>
      </c>
      <c r="E190" s="6" t="str">
        <f>IF(B190="","",B190*PENGATURAN!$B$23)</f>
        <v/>
      </c>
      <c r="F190" s="6" t="str">
        <f>IF(B190="","",B190*PENGATURAN!$B$24)</f>
        <v/>
      </c>
      <c r="G190" s="6" t="str">
        <f>IF(B190="","",B190*PENGATURAN!$B$25)</f>
        <v/>
      </c>
      <c r="H190" s="6" t="str">
        <f t="shared" si="15"/>
        <v/>
      </c>
      <c r="I190" s="6" t="str">
        <f t="shared" si="16"/>
        <v/>
      </c>
      <c r="L190" s="6">
        <f t="shared" si="17"/>
        <v>0</v>
      </c>
    </row>
    <row r="191" spans="2:12" x14ac:dyDescent="0.25">
      <c r="B191" s="6" t="str">
        <f>IF(A191="","",SUMIF(PEMBAYARAN!B:B,A191,PEMBAYARAN!F:F))</f>
        <v/>
      </c>
      <c r="C191" s="6" t="str">
        <f>IF(B191="","",B191*PENGATURAN!$B$21)</f>
        <v/>
      </c>
      <c r="D191" s="6" t="str">
        <f>IF(B191="","",B191*PENGATURAN!$B$22)</f>
        <v/>
      </c>
      <c r="E191" s="6" t="str">
        <f>IF(B191="","",B191*PENGATURAN!$B$23)</f>
        <v/>
      </c>
      <c r="F191" s="6" t="str">
        <f>IF(B191="","",B191*PENGATURAN!$B$24)</f>
        <v/>
      </c>
      <c r="G191" s="6" t="str">
        <f>IF(B191="","",B191*PENGATURAN!$B$25)</f>
        <v/>
      </c>
      <c r="H191" s="6" t="str">
        <f t="shared" si="15"/>
        <v/>
      </c>
      <c r="I191" s="6" t="str">
        <f t="shared" si="16"/>
        <v/>
      </c>
      <c r="L191" s="6">
        <f t="shared" si="17"/>
        <v>0</v>
      </c>
    </row>
    <row r="192" spans="2:12" x14ac:dyDescent="0.25">
      <c r="B192" s="6" t="str">
        <f>IF(A192="","",SUMIF(PEMBAYARAN!B:B,A192,PEMBAYARAN!F:F))</f>
        <v/>
      </c>
      <c r="C192" s="6" t="str">
        <f>IF(B192="","",B192*PENGATURAN!$B$21)</f>
        <v/>
      </c>
      <c r="D192" s="6" t="str">
        <f>IF(B192="","",B192*PENGATURAN!$B$22)</f>
        <v/>
      </c>
      <c r="E192" s="6" t="str">
        <f>IF(B192="","",B192*PENGATURAN!$B$23)</f>
        <v/>
      </c>
      <c r="F192" s="6" t="str">
        <f>IF(B192="","",B192*PENGATURAN!$B$24)</f>
        <v/>
      </c>
      <c r="G192" s="6" t="str">
        <f>IF(B192="","",B192*PENGATURAN!$B$25)</f>
        <v/>
      </c>
      <c r="H192" s="6" t="str">
        <f t="shared" si="15"/>
        <v/>
      </c>
      <c r="I192" s="6" t="str">
        <f t="shared" si="16"/>
        <v/>
      </c>
      <c r="L192" s="6">
        <f t="shared" si="17"/>
        <v>0</v>
      </c>
    </row>
    <row r="193" spans="2:12" x14ac:dyDescent="0.25">
      <c r="B193" s="6" t="str">
        <f>IF(A193="","",SUMIF(PEMBAYARAN!B:B,A193,PEMBAYARAN!F:F))</f>
        <v/>
      </c>
      <c r="C193" s="6" t="str">
        <f>IF(B193="","",B193*PENGATURAN!$B$21)</f>
        <v/>
      </c>
      <c r="D193" s="6" t="str">
        <f>IF(B193="","",B193*PENGATURAN!$B$22)</f>
        <v/>
      </c>
      <c r="E193" s="6" t="str">
        <f>IF(B193="","",B193*PENGATURAN!$B$23)</f>
        <v/>
      </c>
      <c r="F193" s="6" t="str">
        <f>IF(B193="","",B193*PENGATURAN!$B$24)</f>
        <v/>
      </c>
      <c r="G193" s="6" t="str">
        <f>IF(B193="","",B193*PENGATURAN!$B$25)</f>
        <v/>
      </c>
      <c r="H193" s="6" t="str">
        <f t="shared" si="15"/>
        <v/>
      </c>
      <c r="I193" s="6" t="str">
        <f t="shared" si="16"/>
        <v/>
      </c>
      <c r="L193" s="6">
        <f t="shared" si="17"/>
        <v>0</v>
      </c>
    </row>
    <row r="194" spans="2:12" x14ac:dyDescent="0.25">
      <c r="B194" s="6" t="str">
        <f>IF(A194="","",SUMIF(PEMBAYARAN!B:B,A194,PEMBAYARAN!F:F))</f>
        <v/>
      </c>
      <c r="C194" s="6" t="str">
        <f>IF(B194="","",B194*PENGATURAN!$B$21)</f>
        <v/>
      </c>
      <c r="D194" s="6" t="str">
        <f>IF(B194="","",B194*PENGATURAN!$B$22)</f>
        <v/>
      </c>
      <c r="E194" s="6" t="str">
        <f>IF(B194="","",B194*PENGATURAN!$B$23)</f>
        <v/>
      </c>
      <c r="F194" s="6" t="str">
        <f>IF(B194="","",B194*PENGATURAN!$B$24)</f>
        <v/>
      </c>
      <c r="G194" s="6" t="str">
        <f>IF(B194="","",B194*PENGATURAN!$B$25)</f>
        <v/>
      </c>
      <c r="H194" s="6" t="str">
        <f t="shared" si="15"/>
        <v/>
      </c>
      <c r="I194" s="6" t="str">
        <f t="shared" si="16"/>
        <v/>
      </c>
      <c r="L194" s="6">
        <f t="shared" si="17"/>
        <v>0</v>
      </c>
    </row>
    <row r="195" spans="2:12" x14ac:dyDescent="0.25">
      <c r="B195" s="6" t="str">
        <f>IF(A195="","",SUMIF(PEMBAYARAN!B:B,A195,PEMBAYARAN!F:F))</f>
        <v/>
      </c>
      <c r="C195" s="6" t="str">
        <f>IF(B195="","",B195*PENGATURAN!$B$21)</f>
        <v/>
      </c>
      <c r="D195" s="6" t="str">
        <f>IF(B195="","",B195*PENGATURAN!$B$22)</f>
        <v/>
      </c>
      <c r="E195" s="6" t="str">
        <f>IF(B195="","",B195*PENGATURAN!$B$23)</f>
        <v/>
      </c>
      <c r="F195" s="6" t="str">
        <f>IF(B195="","",B195*PENGATURAN!$B$24)</f>
        <v/>
      </c>
      <c r="G195" s="6" t="str">
        <f>IF(B195="","",B195*PENGATURAN!$B$25)</f>
        <v/>
      </c>
      <c r="H195" s="6" t="str">
        <f t="shared" si="15"/>
        <v/>
      </c>
      <c r="I195" s="6" t="str">
        <f t="shared" si="16"/>
        <v/>
      </c>
      <c r="L195" s="6">
        <f t="shared" si="17"/>
        <v>0</v>
      </c>
    </row>
    <row r="196" spans="2:12" x14ac:dyDescent="0.25">
      <c r="B196" s="6" t="str">
        <f>IF(A196="","",SUMIF(PEMBAYARAN!B:B,A196,PEMBAYARAN!F:F))</f>
        <v/>
      </c>
      <c r="C196" s="6" t="str">
        <f>IF(B196="","",B196*PENGATURAN!$B$21)</f>
        <v/>
      </c>
      <c r="D196" s="6" t="str">
        <f>IF(B196="","",B196*PENGATURAN!$B$22)</f>
        <v/>
      </c>
      <c r="E196" s="6" t="str">
        <f>IF(B196="","",B196*PENGATURAN!$B$23)</f>
        <v/>
      </c>
      <c r="F196" s="6" t="str">
        <f>IF(B196="","",B196*PENGATURAN!$B$24)</f>
        <v/>
      </c>
      <c r="G196" s="6" t="str">
        <f>IF(B196="","",B196*PENGATURAN!$B$25)</f>
        <v/>
      </c>
      <c r="H196" s="6" t="str">
        <f t="shared" ref="H196:H227" si="18">IF(B196="","",SUM(C196:G196))</f>
        <v/>
      </c>
      <c r="I196" s="6" t="str">
        <f t="shared" ref="I196:I227" si="19">IF(B196="","",B196-H196)</f>
        <v/>
      </c>
      <c r="L196" s="6">
        <f t="shared" ref="L196:L227" si="20">IF(OR(J196&lt;&gt;"Lunas",K196&lt;&gt;"Tercukupi"),0,I196)</f>
        <v>0</v>
      </c>
    </row>
    <row r="197" spans="2:12" x14ac:dyDescent="0.25">
      <c r="B197" s="6" t="str">
        <f>IF(A197="","",SUMIF(PEMBAYARAN!B:B,A197,PEMBAYARAN!F:F))</f>
        <v/>
      </c>
      <c r="C197" s="6" t="str">
        <f>IF(B197="","",B197*PENGATURAN!$B$21)</f>
        <v/>
      </c>
      <c r="D197" s="6" t="str">
        <f>IF(B197="","",B197*PENGATURAN!$B$22)</f>
        <v/>
      </c>
      <c r="E197" s="6" t="str">
        <f>IF(B197="","",B197*PENGATURAN!$B$23)</f>
        <v/>
      </c>
      <c r="F197" s="6" t="str">
        <f>IF(B197="","",B197*PENGATURAN!$B$24)</f>
        <v/>
      </c>
      <c r="G197" s="6" t="str">
        <f>IF(B197="","",B197*PENGATURAN!$B$25)</f>
        <v/>
      </c>
      <c r="H197" s="6" t="str">
        <f t="shared" si="18"/>
        <v/>
      </c>
      <c r="I197" s="6" t="str">
        <f t="shared" si="19"/>
        <v/>
      </c>
      <c r="L197" s="6">
        <f t="shared" si="20"/>
        <v>0</v>
      </c>
    </row>
    <row r="198" spans="2:12" x14ac:dyDescent="0.25">
      <c r="B198" s="6" t="str">
        <f>IF(A198="","",SUMIF(PEMBAYARAN!B:B,A198,PEMBAYARAN!F:F))</f>
        <v/>
      </c>
      <c r="C198" s="6" t="str">
        <f>IF(B198="","",B198*PENGATURAN!$B$21)</f>
        <v/>
      </c>
      <c r="D198" s="6" t="str">
        <f>IF(B198="","",B198*PENGATURAN!$B$22)</f>
        <v/>
      </c>
      <c r="E198" s="6" t="str">
        <f>IF(B198="","",B198*PENGATURAN!$B$23)</f>
        <v/>
      </c>
      <c r="F198" s="6" t="str">
        <f>IF(B198="","",B198*PENGATURAN!$B$24)</f>
        <v/>
      </c>
      <c r="G198" s="6" t="str">
        <f>IF(B198="","",B198*PENGATURAN!$B$25)</f>
        <v/>
      </c>
      <c r="H198" s="6" t="str">
        <f t="shared" si="18"/>
        <v/>
      </c>
      <c r="I198" s="6" t="str">
        <f t="shared" si="19"/>
        <v/>
      </c>
      <c r="L198" s="6">
        <f t="shared" si="20"/>
        <v>0</v>
      </c>
    </row>
    <row r="199" spans="2:12" x14ac:dyDescent="0.25">
      <c r="B199" s="6" t="str">
        <f>IF(A199="","",SUMIF(PEMBAYARAN!B:B,A199,PEMBAYARAN!F:F))</f>
        <v/>
      </c>
      <c r="C199" s="6" t="str">
        <f>IF(B199="","",B199*PENGATURAN!$B$21)</f>
        <v/>
      </c>
      <c r="D199" s="6" t="str">
        <f>IF(B199="","",B199*PENGATURAN!$B$22)</f>
        <v/>
      </c>
      <c r="E199" s="6" t="str">
        <f>IF(B199="","",B199*PENGATURAN!$B$23)</f>
        <v/>
      </c>
      <c r="F199" s="6" t="str">
        <f>IF(B199="","",B199*PENGATURAN!$B$24)</f>
        <v/>
      </c>
      <c r="G199" s="6" t="str">
        <f>IF(B199="","",B199*PENGATURAN!$B$25)</f>
        <v/>
      </c>
      <c r="H199" s="6" t="str">
        <f t="shared" si="18"/>
        <v/>
      </c>
      <c r="I199" s="6" t="str">
        <f t="shared" si="19"/>
        <v/>
      </c>
      <c r="L199" s="6">
        <f t="shared" si="20"/>
        <v>0</v>
      </c>
    </row>
    <row r="200" spans="2:12" x14ac:dyDescent="0.25">
      <c r="B200" s="6" t="str">
        <f>IF(A200="","",SUMIF(PEMBAYARAN!B:B,A200,PEMBAYARAN!F:F))</f>
        <v/>
      </c>
      <c r="C200" s="6" t="str">
        <f>IF(B200="","",B200*PENGATURAN!$B$21)</f>
        <v/>
      </c>
      <c r="D200" s="6" t="str">
        <f>IF(B200="","",B200*PENGATURAN!$B$22)</f>
        <v/>
      </c>
      <c r="E200" s="6" t="str">
        <f>IF(B200="","",B200*PENGATURAN!$B$23)</f>
        <v/>
      </c>
      <c r="F200" s="6" t="str">
        <f>IF(B200="","",B200*PENGATURAN!$B$24)</f>
        <v/>
      </c>
      <c r="G200" s="6" t="str">
        <f>IF(B200="","",B200*PENGATURAN!$B$25)</f>
        <v/>
      </c>
      <c r="H200" s="6" t="str">
        <f t="shared" si="18"/>
        <v/>
      </c>
      <c r="I200" s="6" t="str">
        <f t="shared" si="19"/>
        <v/>
      </c>
      <c r="L200" s="6">
        <f t="shared" si="20"/>
        <v>0</v>
      </c>
    </row>
    <row r="201" spans="2:12" x14ac:dyDescent="0.25">
      <c r="B201" s="6" t="str">
        <f>IF(A201="","",SUMIF(PEMBAYARAN!B:B,A201,PEMBAYARAN!F:F))</f>
        <v/>
      </c>
      <c r="C201" s="6" t="str">
        <f>IF(B201="","",B201*PENGATURAN!$B$21)</f>
        <v/>
      </c>
      <c r="D201" s="6" t="str">
        <f>IF(B201="","",B201*PENGATURAN!$B$22)</f>
        <v/>
      </c>
      <c r="E201" s="6" t="str">
        <f>IF(B201="","",B201*PENGATURAN!$B$23)</f>
        <v/>
      </c>
      <c r="F201" s="6" t="str">
        <f>IF(B201="","",B201*PENGATURAN!$B$24)</f>
        <v/>
      </c>
      <c r="G201" s="6" t="str">
        <f>IF(B201="","",B201*PENGATURAN!$B$25)</f>
        <v/>
      </c>
      <c r="H201" s="6" t="str">
        <f t="shared" si="18"/>
        <v/>
      </c>
      <c r="I201" s="6" t="str">
        <f t="shared" si="19"/>
        <v/>
      </c>
      <c r="L201" s="6">
        <f t="shared" si="20"/>
        <v>0</v>
      </c>
    </row>
    <row r="202" spans="2:12" x14ac:dyDescent="0.25">
      <c r="B202" s="6" t="str">
        <f>IF(A202="","",SUMIF(PEMBAYARAN!B:B,A202,PEMBAYARAN!F:F))</f>
        <v/>
      </c>
      <c r="C202" s="6" t="str">
        <f>IF(B202="","",B202*PENGATURAN!$B$21)</f>
        <v/>
      </c>
      <c r="D202" s="6" t="str">
        <f>IF(B202="","",B202*PENGATURAN!$B$22)</f>
        <v/>
      </c>
      <c r="E202" s="6" t="str">
        <f>IF(B202="","",B202*PENGATURAN!$B$23)</f>
        <v/>
      </c>
      <c r="F202" s="6" t="str">
        <f>IF(B202="","",B202*PENGATURAN!$B$24)</f>
        <v/>
      </c>
      <c r="G202" s="6" t="str">
        <f>IF(B202="","",B202*PENGATURAN!$B$25)</f>
        <v/>
      </c>
      <c r="H202" s="6" t="str">
        <f t="shared" si="18"/>
        <v/>
      </c>
      <c r="I202" s="6" t="str">
        <f t="shared" si="19"/>
        <v/>
      </c>
      <c r="L202" s="6">
        <f t="shared" si="20"/>
        <v>0</v>
      </c>
    </row>
    <row r="203" spans="2:12" x14ac:dyDescent="0.25">
      <c r="B203" s="6" t="str">
        <f>IF(A203="","",SUMIF(PEMBAYARAN!B:B,A203,PEMBAYARAN!F:F))</f>
        <v/>
      </c>
      <c r="C203" s="6" t="str">
        <f>IF(B203="","",B203*PENGATURAN!$B$21)</f>
        <v/>
      </c>
      <c r="D203" s="6" t="str">
        <f>IF(B203="","",B203*PENGATURAN!$B$22)</f>
        <v/>
      </c>
      <c r="E203" s="6" t="str">
        <f>IF(B203="","",B203*PENGATURAN!$B$23)</f>
        <v/>
      </c>
      <c r="F203" s="6" t="str">
        <f>IF(B203="","",B203*PENGATURAN!$B$24)</f>
        <v/>
      </c>
      <c r="G203" s="6" t="str">
        <f>IF(B203="","",B203*PENGATURAN!$B$25)</f>
        <v/>
      </c>
      <c r="H203" s="6" t="str">
        <f t="shared" si="18"/>
        <v/>
      </c>
      <c r="I203" s="6" t="str">
        <f t="shared" si="19"/>
        <v/>
      </c>
      <c r="L203" s="6">
        <f t="shared" si="20"/>
        <v>0</v>
      </c>
    </row>
  </sheetData>
  <autoFilter ref="A1:I103" xr:uid="{00000000-0009-0000-0000-00000A000000}"/>
  <mergeCells count="1">
    <mergeCell ref="A1:I1"/>
  </mergeCells>
  <dataValidations count="2">
    <dataValidation type="list" sqref="J4:J203" xr:uid="{00000000-0002-0000-0A00-000000000000}">
      <formula1>"Belum Lunas,Lunas"</formula1>
    </dataValidation>
    <dataValidation type="list" sqref="K4:K203" xr:uid="{00000000-0002-0000-0A00-000001000000}">
      <formula1>"Belum Tercukupi,Tercukupi"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4"/>
  <sheetViews>
    <sheetView showGridLines="0" workbookViewId="0">
      <pane ySplit="2" topLeftCell="A3" activePane="bottomLeft" state="frozen"/>
      <selection pane="bottomLeft" sqref="A1:D1"/>
    </sheetView>
  </sheetViews>
  <sheetFormatPr defaultRowHeight="15" x14ac:dyDescent="0.25"/>
  <cols>
    <col min="1" max="1" width="26" customWidth="1"/>
    <col min="2" max="2" width="55" customWidth="1"/>
    <col min="3" max="4" width="12" customWidth="1"/>
  </cols>
  <sheetData>
    <row r="1" spans="1:4" ht="21" x14ac:dyDescent="0.35">
      <c r="A1" s="10" t="s">
        <v>212</v>
      </c>
      <c r="B1" s="11"/>
      <c r="C1" s="11"/>
      <c r="D1" s="11"/>
    </row>
    <row r="3" spans="1:4" x14ac:dyDescent="0.25">
      <c r="A3" s="2" t="s">
        <v>159</v>
      </c>
      <c r="B3" s="3" t="s">
        <v>66</v>
      </c>
    </row>
    <row r="4" spans="1:4" x14ac:dyDescent="0.25">
      <c r="A4" s="2" t="s">
        <v>213</v>
      </c>
      <c r="B4" s="3" t="str">
        <f>IF(B3="","","TR/PPJB/2026/"&amp;RIGHT(B3,4))</f>
        <v>TR/PPJB/2026/0001</v>
      </c>
    </row>
    <row r="5" spans="1:4" x14ac:dyDescent="0.25">
      <c r="A5" s="2" t="s">
        <v>161</v>
      </c>
      <c r="B5" s="3" t="str">
        <f>IFERROR(INDEX(PENJUALAN!E:E,MATCH(B3,PENJUALAN!A:A,0)),"")</f>
        <v/>
      </c>
    </row>
    <row r="6" spans="1:4" x14ac:dyDescent="0.25">
      <c r="A6" s="2" t="s">
        <v>142</v>
      </c>
      <c r="B6" s="3" t="str">
        <f>IFERROR(INDEX(KONSUMEN!C:C,MATCH(INDEX(PENJUALAN!D:D,MATCH(B3,PENJUALAN!A:A,0)),KONSUMEN!A:A,0)),"")</f>
        <v/>
      </c>
    </row>
    <row r="7" spans="1:4" x14ac:dyDescent="0.25">
      <c r="A7" s="2" t="s">
        <v>144</v>
      </c>
      <c r="B7" s="3" t="str">
        <f>IFERROR(INDEX(KONSUMEN!E:E,MATCH(INDEX(PENJUALAN!D:D,MATCH(B3,PENJUALAN!A:A,0)),KONSUMEN!A:A,0)),"")</f>
        <v/>
      </c>
    </row>
    <row r="8" spans="1:4" x14ac:dyDescent="0.25">
      <c r="A8" s="2" t="s">
        <v>145</v>
      </c>
      <c r="B8" s="3" t="str">
        <f>IFERROR(INDEX(PENJUALAN!C:C,MATCH(B3,PENJUALAN!A:A,0)),"")</f>
        <v/>
      </c>
    </row>
    <row r="9" spans="1:4" x14ac:dyDescent="0.25">
      <c r="A9" s="2" t="s">
        <v>214</v>
      </c>
      <c r="B9" s="3" t="str">
        <f>IFERROR(INDEX(MASTER_KAVLING!F:F,MATCH(B8,MASTER_KAVLING!A:A,0)),"")</f>
        <v/>
      </c>
    </row>
    <row r="10" spans="1:4" x14ac:dyDescent="0.25">
      <c r="A10" s="2" t="s">
        <v>89</v>
      </c>
      <c r="B10" s="4" t="str">
        <f>IFERROR(INDEX(PENJUALAN!F:F,MATCH(B3,PENJUALAN!A:A,0)),"")</f>
        <v/>
      </c>
    </row>
    <row r="11" spans="1:4" x14ac:dyDescent="0.25">
      <c r="A11" s="2" t="s">
        <v>215</v>
      </c>
      <c r="B11" s="4" t="str">
        <f>IFERROR(INDEX(PENJUALAN!K:K,MATCH(B3,PENJUALAN!A:A,0)),"")</f>
        <v/>
      </c>
    </row>
    <row r="12" spans="1:4" x14ac:dyDescent="0.25">
      <c r="A12" s="2" t="s">
        <v>216</v>
      </c>
      <c r="B12" s="4" t="str">
        <f>IFERROR(INDEX(PENJUALAN!L:L,MATCH(B3,PENJUALAN!A:A,0)),"")</f>
        <v/>
      </c>
    </row>
    <row r="13" spans="1:4" x14ac:dyDescent="0.25">
      <c r="A13" s="2" t="s">
        <v>165</v>
      </c>
      <c r="B13" s="3" t="str">
        <f>IFERROR(INDEX(PENJUALAN!M:M,MATCH(B3,PENJUALAN!A:A,0)),"")</f>
        <v/>
      </c>
    </row>
    <row r="14" spans="1:4" x14ac:dyDescent="0.25">
      <c r="A14" s="2" t="s">
        <v>57</v>
      </c>
      <c r="B14" s="3" t="s">
        <v>58</v>
      </c>
    </row>
  </sheetData>
  <autoFilter ref="A1:D14" xr:uid="{00000000-0009-0000-0000-00000B000000}"/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7"/>
  <sheetViews>
    <sheetView showGridLines="0" workbookViewId="0">
      <pane ySplit="2" topLeftCell="A3" activePane="bottomLeft" state="frozen"/>
      <selection pane="bottomLeft" activeCell="A4" sqref="A4:F17"/>
    </sheetView>
  </sheetViews>
  <sheetFormatPr defaultRowHeight="15" x14ac:dyDescent="0.25"/>
  <cols>
    <col min="1" max="1" width="16" customWidth="1"/>
    <col min="2" max="2" width="26" customWidth="1"/>
    <col min="3" max="3" width="16" customWidth="1"/>
    <col min="4" max="4" width="18" customWidth="1"/>
    <col min="5" max="5" width="16" customWidth="1"/>
    <col min="6" max="6" width="18" customWidth="1"/>
  </cols>
  <sheetData>
    <row r="1" spans="1:6" ht="21" x14ac:dyDescent="0.35">
      <c r="A1" s="10" t="s">
        <v>217</v>
      </c>
      <c r="B1" s="11"/>
      <c r="C1" s="11"/>
      <c r="D1" s="11"/>
      <c r="E1" s="11"/>
      <c r="F1" s="11"/>
    </row>
    <row r="3" spans="1:6" x14ac:dyDescent="0.25">
      <c r="A3" s="12" t="s">
        <v>145</v>
      </c>
      <c r="B3" s="12" t="s">
        <v>218</v>
      </c>
      <c r="C3" s="12" t="s">
        <v>9</v>
      </c>
      <c r="D3" s="12" t="s">
        <v>219</v>
      </c>
      <c r="E3" s="12" t="s">
        <v>220</v>
      </c>
      <c r="F3" s="12" t="s">
        <v>221</v>
      </c>
    </row>
    <row r="4" spans="1:6" x14ac:dyDescent="0.25">
      <c r="A4" s="14" t="str">
        <f>MASTER_KAVLING!A4</f>
        <v>TR-A01</v>
      </c>
      <c r="B4" s="14">
        <f>MASTER_KAVLING!J4</f>
        <v>0</v>
      </c>
      <c r="C4" s="14" t="s">
        <v>222</v>
      </c>
      <c r="D4" s="14" t="s">
        <v>222</v>
      </c>
      <c r="E4" s="14" t="s">
        <v>222</v>
      </c>
      <c r="F4" s="14" t="s">
        <v>222</v>
      </c>
    </row>
    <row r="5" spans="1:6" x14ac:dyDescent="0.25">
      <c r="A5" s="14" t="str">
        <f>MASTER_KAVLING!A5</f>
        <v>TR-A02</v>
      </c>
      <c r="B5" s="14">
        <f>MASTER_KAVLING!J5</f>
        <v>0</v>
      </c>
      <c r="C5" s="14" t="s">
        <v>222</v>
      </c>
      <c r="D5" s="14" t="s">
        <v>222</v>
      </c>
      <c r="E5" s="14" t="s">
        <v>222</v>
      </c>
      <c r="F5" s="14" t="s">
        <v>222</v>
      </c>
    </row>
    <row r="6" spans="1:6" x14ac:dyDescent="0.25">
      <c r="A6" s="14" t="str">
        <f>MASTER_KAVLING!A6</f>
        <v>TR-A03</v>
      </c>
      <c r="B6" s="14">
        <f>MASTER_KAVLING!J6</f>
        <v>0</v>
      </c>
      <c r="C6" s="14" t="s">
        <v>222</v>
      </c>
      <c r="D6" s="14" t="s">
        <v>222</v>
      </c>
      <c r="E6" s="14" t="s">
        <v>222</v>
      </c>
      <c r="F6" s="14" t="s">
        <v>222</v>
      </c>
    </row>
    <row r="7" spans="1:6" x14ac:dyDescent="0.25">
      <c r="A7" s="14" t="str">
        <f>MASTER_KAVLING!A7</f>
        <v>TR-A04</v>
      </c>
      <c r="B7" s="14">
        <f>MASTER_KAVLING!J7</f>
        <v>0</v>
      </c>
      <c r="C7" s="14" t="s">
        <v>222</v>
      </c>
      <c r="D7" s="14" t="s">
        <v>222</v>
      </c>
      <c r="E7" s="14" t="s">
        <v>222</v>
      </c>
      <c r="F7" s="14" t="s">
        <v>222</v>
      </c>
    </row>
    <row r="8" spans="1:6" x14ac:dyDescent="0.25">
      <c r="A8" s="14" t="str">
        <f>MASTER_KAVLING!A8</f>
        <v>TR-A05</v>
      </c>
      <c r="B8" s="14">
        <f>MASTER_KAVLING!J8</f>
        <v>0</v>
      </c>
      <c r="C8" s="14" t="s">
        <v>222</v>
      </c>
      <c r="D8" s="14" t="s">
        <v>222</v>
      </c>
      <c r="E8" s="14" t="s">
        <v>222</v>
      </c>
      <c r="F8" s="14" t="s">
        <v>222</v>
      </c>
    </row>
    <row r="9" spans="1:6" x14ac:dyDescent="0.25">
      <c r="A9" s="14" t="str">
        <f>MASTER_KAVLING!A9</f>
        <v>TR-A06</v>
      </c>
      <c r="B9" s="14">
        <f>MASTER_KAVLING!J9</f>
        <v>0</v>
      </c>
      <c r="C9" s="14" t="s">
        <v>222</v>
      </c>
      <c r="D9" s="14" t="s">
        <v>222</v>
      </c>
      <c r="E9" s="14" t="s">
        <v>222</v>
      </c>
      <c r="F9" s="14" t="s">
        <v>222</v>
      </c>
    </row>
    <row r="10" spans="1:6" x14ac:dyDescent="0.25">
      <c r="A10" s="14" t="str">
        <f>MASTER_KAVLING!A10</f>
        <v>TR-A07</v>
      </c>
      <c r="B10" s="14">
        <f>MASTER_KAVLING!J10</f>
        <v>0</v>
      </c>
      <c r="C10" s="14" t="s">
        <v>222</v>
      </c>
      <c r="D10" s="14" t="s">
        <v>222</v>
      </c>
      <c r="E10" s="14" t="s">
        <v>222</v>
      </c>
      <c r="F10" s="14" t="s">
        <v>222</v>
      </c>
    </row>
    <row r="11" spans="1:6" x14ac:dyDescent="0.25">
      <c r="A11" s="14" t="str">
        <f>MASTER_KAVLING!A11</f>
        <v>TR-B01</v>
      </c>
      <c r="B11" s="14">
        <f>MASTER_KAVLING!J11</f>
        <v>0</v>
      </c>
      <c r="C11" s="14" t="s">
        <v>222</v>
      </c>
      <c r="D11" s="14" t="s">
        <v>222</v>
      </c>
      <c r="E11" s="14" t="s">
        <v>222</v>
      </c>
      <c r="F11" s="14" t="s">
        <v>222</v>
      </c>
    </row>
    <row r="12" spans="1:6" x14ac:dyDescent="0.25">
      <c r="A12" s="14" t="str">
        <f>MASTER_KAVLING!A12</f>
        <v>TR-B02</v>
      </c>
      <c r="B12" s="14">
        <f>MASTER_KAVLING!J12</f>
        <v>0</v>
      </c>
      <c r="C12" s="14" t="s">
        <v>222</v>
      </c>
      <c r="D12" s="14" t="s">
        <v>222</v>
      </c>
      <c r="E12" s="14" t="s">
        <v>222</v>
      </c>
      <c r="F12" s="14" t="s">
        <v>222</v>
      </c>
    </row>
    <row r="13" spans="1:6" x14ac:dyDescent="0.25">
      <c r="A13" s="14" t="str">
        <f>MASTER_KAVLING!A13</f>
        <v>TR-B03</v>
      </c>
      <c r="B13" s="14">
        <f>MASTER_KAVLING!J13</f>
        <v>0</v>
      </c>
      <c r="C13" s="14" t="s">
        <v>222</v>
      </c>
      <c r="D13" s="14" t="s">
        <v>222</v>
      </c>
      <c r="E13" s="14" t="s">
        <v>222</v>
      </c>
      <c r="F13" s="14" t="s">
        <v>222</v>
      </c>
    </row>
    <row r="14" spans="1:6" x14ac:dyDescent="0.25">
      <c r="A14" s="14" t="str">
        <f>MASTER_KAVLING!A14</f>
        <v>TR-B04</v>
      </c>
      <c r="B14" s="14">
        <f>MASTER_KAVLING!J14</f>
        <v>0</v>
      </c>
      <c r="C14" s="14" t="s">
        <v>222</v>
      </c>
      <c r="D14" s="14" t="s">
        <v>222</v>
      </c>
      <c r="E14" s="14" t="s">
        <v>222</v>
      </c>
      <c r="F14" s="14" t="s">
        <v>222</v>
      </c>
    </row>
    <row r="15" spans="1:6" x14ac:dyDescent="0.25">
      <c r="A15" s="14" t="str">
        <f>MASTER_KAVLING!A15</f>
        <v>TR-B05</v>
      </c>
      <c r="B15" s="14">
        <f>MASTER_KAVLING!J15</f>
        <v>0</v>
      </c>
      <c r="C15" s="14" t="s">
        <v>222</v>
      </c>
      <c r="D15" s="14" t="s">
        <v>222</v>
      </c>
      <c r="E15" s="14" t="s">
        <v>222</v>
      </c>
      <c r="F15" s="14" t="s">
        <v>222</v>
      </c>
    </row>
    <row r="16" spans="1:6" x14ac:dyDescent="0.25">
      <c r="A16" s="14" t="str">
        <f>MASTER_KAVLING!A16</f>
        <v>TR-B06</v>
      </c>
      <c r="B16" s="14">
        <f>MASTER_KAVLING!J16</f>
        <v>0</v>
      </c>
      <c r="C16" s="14" t="s">
        <v>222</v>
      </c>
      <c r="D16" s="14" t="s">
        <v>222</v>
      </c>
      <c r="E16" s="14" t="s">
        <v>222</v>
      </c>
      <c r="F16" s="14" t="s">
        <v>222</v>
      </c>
    </row>
    <row r="17" spans="1:6" x14ac:dyDescent="0.25">
      <c r="A17" s="14" t="str">
        <f>MASTER_KAVLING!A17</f>
        <v>TR-B07</v>
      </c>
      <c r="B17" s="14">
        <f>MASTER_KAVLING!J17</f>
        <v>0</v>
      </c>
      <c r="C17" s="14" t="s">
        <v>222</v>
      </c>
      <c r="D17" s="14" t="s">
        <v>222</v>
      </c>
      <c r="E17" s="14" t="s">
        <v>222</v>
      </c>
      <c r="F17" s="14" t="s">
        <v>222</v>
      </c>
    </row>
  </sheetData>
  <autoFilter ref="A1:F17" xr:uid="{00000000-0009-0000-0000-00000C000000}"/>
  <mergeCells count="1">
    <mergeCell ref="A1:F1"/>
  </mergeCells>
  <dataValidations count="1">
    <dataValidation type="list" allowBlank="1" sqref="C4:F17" xr:uid="{00000000-0002-0000-0C00-000000000000}">
      <formula1>"Belum,Proses,Selesai"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DASHBOARD</vt:lpstr>
      <vt:lpstr>PENGATURAN</vt:lpstr>
      <vt:lpstr>MASTER_KAVLING</vt:lpstr>
      <vt:lpstr>SKEMA_HARGA</vt:lpstr>
      <vt:lpstr>KONSUMEN</vt:lpstr>
      <vt:lpstr>AGEN_MARKETING</vt:lpstr>
      <vt:lpstr>PENJUALAN</vt:lpstr>
      <vt:lpstr>PEMBAYARAN</vt:lpstr>
      <vt:lpstr>RAB_MASTER</vt:lpstr>
      <vt:lpstr>KAS_PROYEK</vt:lpstr>
      <vt:lpstr>CASHFLOW_ALOKASI</vt:lpstr>
      <vt:lpstr>PPJB_OTOMATIS</vt:lpstr>
      <vt:lpstr>CHECKLIST_LEGAL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Laskar Cakra</cp:lastModifiedBy>
  <dcterms:created xsi:type="dcterms:W3CDTF">2026-07-24T13:30:15Z</dcterms:created>
  <dcterms:modified xsi:type="dcterms:W3CDTF">2026-07-24T15:08:23Z</dcterms:modified>
</cp:coreProperties>
</file>